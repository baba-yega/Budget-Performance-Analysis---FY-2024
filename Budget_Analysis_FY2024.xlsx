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_Transactions" sheetId="2" state="visible" r:id="rId4"/>
    <sheet name="Cleaned_Data" sheetId="3" state="visible" r:id="rId5"/>
    <sheet name="Budget_vs_Actual" sheetId="4" state="visible" r:id="rId6"/>
    <sheet name="Monthly_Trend" sheetId="5" state="visible" r:id="rId7"/>
    <sheet name="Category_Analys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<sst xmlns="http://schemas.openxmlformats.org/spreadsheetml/2006/main" count="1056" uniqueCount="351">
  <si>
    <t xml:space="preserve">📊  CORPORATE BUDGET PERFORMANCE DASHBOARD — FY 2024</t>
  </si>
  <si>
    <t xml:space="preserve">Techbridge Nigeria Ltd  |  Finance Department  |  Data as at: December 2024</t>
  </si>
  <si>
    <t xml:space="preserve">Total Budget (NGN)</t>
  </si>
  <si>
    <t xml:space="preserve">Total Actual Spend</t>
  </si>
  <si>
    <t xml:space="preserve">Budget Variance</t>
  </si>
  <si>
    <t xml:space="preserve">Approval Rate</t>
  </si>
  <si>
    <t xml:space="preserve">BUDGET vs ACTUAL BY DEPARTMENT</t>
  </si>
  <si>
    <t xml:space="preserve">TOP SPEND CATEGORIES</t>
  </si>
  <si>
    <t xml:space="preserve">Department</t>
  </si>
  <si>
    <t xml:space="preserve">Budget (NGN)</t>
  </si>
  <si>
    <t xml:space="preserve">Actual (NGN)</t>
  </si>
  <si>
    <t xml:space="preserve">Variance</t>
  </si>
  <si>
    <t xml:space="preserve">Status</t>
  </si>
  <si>
    <t xml:space="preserve">Category</t>
  </si>
  <si>
    <t xml:space="preserve">Total Spend</t>
  </si>
  <si>
    <t xml:space="preserve">% of Budget</t>
  </si>
  <si>
    <t xml:space="preserve">Sales</t>
  </si>
  <si>
    <t xml:space="preserve">Operations</t>
  </si>
  <si>
    <t xml:space="preserve">IT</t>
  </si>
  <si>
    <t xml:space="preserve">HR</t>
  </si>
  <si>
    <t xml:space="preserve">Finance</t>
  </si>
  <si>
    <t xml:space="preserve">Marketing</t>
  </si>
  <si>
    <t xml:space="preserve">TOTAL</t>
  </si>
  <si>
    <t xml:space="preserve">KEY INSIGHTS</t>
  </si>
  <si>
    <t xml:space="preserve">💡 Marketing and Sales departments show the highest overspend risk — exceeding 95% of allocated budget by Q3. Recommend budget review for FY2025.</t>
  </si>
  <si>
    <t xml:space="preserve">✅ Finance and HR departments consistently operated within budget, with combined savings of ~₦3.2M — a model for cost discipline across other units.</t>
  </si>
  <si>
    <t xml:space="preserve">Trans_ID</t>
  </si>
  <si>
    <t xml:space="preserve">Date</t>
  </si>
  <si>
    <t xml:space="preserve">Description</t>
  </si>
  <si>
    <t xml:space="preserve">Amount (NGN)</t>
  </si>
  <si>
    <t xml:space="preserve">Approved_By</t>
  </si>
  <si>
    <t xml:space="preserve">Notes</t>
  </si>
  <si>
    <t xml:space="preserve">TXN-1001</t>
  </si>
  <si>
    <t xml:space="preserve">05/04/2024</t>
  </si>
  <si>
    <t xml:space="preserve">Salaries</t>
  </si>
  <si>
    <t xml:space="preserve">Contract staff pay</t>
  </si>
  <si>
    <t xml:space="preserve">Chukwu A.</t>
  </si>
  <si>
    <t xml:space="preserve">Approved</t>
  </si>
  <si>
    <t xml:space="preserve">TXN-1002</t>
  </si>
  <si>
    <t xml:space="preserve">20/09/2024</t>
  </si>
  <si>
    <t xml:space="preserve">Monthly staff salaries</t>
  </si>
  <si>
    <t xml:space="preserve">Pending</t>
  </si>
  <si>
    <t xml:space="preserve">TXN-1003</t>
  </si>
  <si>
    <t xml:space="preserve">26/05/2024</t>
  </si>
  <si>
    <t xml:space="preserve">Utilities</t>
  </si>
  <si>
    <t xml:space="preserve">Electricity bill</t>
  </si>
  <si>
    <t xml:space="preserve">TXN-1004</t>
  </si>
  <si>
    <t xml:space="preserve">04/06/2024</t>
  </si>
  <si>
    <t xml:space="preserve">Training</t>
  </si>
  <si>
    <t xml:space="preserve">Excel training workshop</t>
  </si>
  <si>
    <t xml:space="preserve">approved</t>
  </si>
  <si>
    <t xml:space="preserve">Duplicate check</t>
  </si>
  <si>
    <t xml:space="preserve">TXN-1005</t>
  </si>
  <si>
    <t xml:space="preserve">04/09/2024</t>
  </si>
  <si>
    <t xml:space="preserve">Nwachukwu F.</t>
  </si>
  <si>
    <t xml:space="preserve">TXN-1006</t>
  </si>
  <si>
    <t xml:space="preserve">02/02/2024</t>
  </si>
  <si>
    <t xml:space="preserve">Brand design</t>
  </si>
  <si>
    <t xml:space="preserve">Bello R.</t>
  </si>
  <si>
    <t xml:space="preserve">Rejected</t>
  </si>
  <si>
    <t xml:space="preserve">TXN-1007</t>
  </si>
  <si>
    <t xml:space="preserve">27/11/2024</t>
  </si>
  <si>
    <t xml:space="preserve">Software Licenses</t>
  </si>
  <si>
    <t xml:space="preserve">Antivirus subscription</t>
  </si>
  <si>
    <t xml:space="preserve">Adeyemi T.</t>
  </si>
  <si>
    <t xml:space="preserve">TXN-1008</t>
  </si>
  <si>
    <t xml:space="preserve">03/11/2024</t>
  </si>
  <si>
    <t xml:space="preserve">PMP certification</t>
  </si>
  <si>
    <t xml:space="preserve">Okafor M.</t>
  </si>
  <si>
    <t xml:space="preserve">TXN-1009</t>
  </si>
  <si>
    <t xml:space="preserve">23/11/2024</t>
  </si>
  <si>
    <t xml:space="preserve">Travel &amp; Transport</t>
  </si>
  <si>
    <t xml:space="preserve">Airport transfer</t>
  </si>
  <si>
    <t xml:space="preserve">TXN-1010</t>
  </si>
  <si>
    <t xml:space="preserve">09/07/2024</t>
  </si>
  <si>
    <t xml:space="preserve">Office Supplies</t>
  </si>
  <si>
    <t xml:space="preserve">Printer cartridges</t>
  </si>
  <si>
    <t xml:space="preserve">TXN-1011</t>
  </si>
  <si>
    <t xml:space="preserve">21/07/2024</t>
  </si>
  <si>
    <t xml:space="preserve">Social media ads</t>
  </si>
  <si>
    <t xml:space="preserve">Needs resubmission</t>
  </si>
  <si>
    <t xml:space="preserve">TXN-1012</t>
  </si>
  <si>
    <t xml:space="preserve">19/07/2024</t>
  </si>
  <si>
    <t xml:space="preserve">Equipment</t>
  </si>
  <si>
    <t xml:space="preserve">Projector</t>
  </si>
  <si>
    <t xml:space="preserve">TXN-1013</t>
  </si>
  <si>
    <t xml:space="preserve">05/02/2024</t>
  </si>
  <si>
    <t xml:space="preserve">Consulting Fees</t>
  </si>
  <si>
    <t xml:space="preserve">IT audit consultant</t>
  </si>
  <si>
    <t xml:space="preserve">TXN-1014</t>
  </si>
  <si>
    <t xml:space="preserve">09/09/2024</t>
  </si>
  <si>
    <t xml:space="preserve">OPERATIONS</t>
  </si>
  <si>
    <t xml:space="preserve">Generator maintenance</t>
  </si>
  <si>
    <t xml:space="preserve">TXN-1015</t>
  </si>
  <si>
    <t xml:space="preserve">Verify receipt</t>
  </si>
  <si>
    <t xml:space="preserve">TXN-1016</t>
  </si>
  <si>
    <t xml:space="preserve">28/02/2024</t>
  </si>
  <si>
    <t xml:space="preserve">Laptop purchase</t>
  </si>
  <si>
    <t xml:space="preserve">TXN-1017</t>
  </si>
  <si>
    <t xml:space="preserve">01/08/2024</t>
  </si>
  <si>
    <t xml:space="preserve">TXN-1018</t>
  </si>
  <si>
    <t xml:space="preserve">03/10/2024</t>
  </si>
  <si>
    <t xml:space="preserve">APPROVED</t>
  </si>
  <si>
    <t xml:space="preserve">TXN-1019</t>
  </si>
  <si>
    <t xml:space="preserve">06/09/2024</t>
  </si>
  <si>
    <t xml:space="preserve">Client visit – Abuja</t>
  </si>
  <si>
    <t xml:space="preserve">TXN-1020</t>
  </si>
  <si>
    <t xml:space="preserve">21/11/2024</t>
  </si>
  <si>
    <t xml:space="preserve">Office furniture</t>
  </si>
  <si>
    <t xml:space="preserve">TXN-1021</t>
  </si>
  <si>
    <t xml:space="preserve">01/06/2024</t>
  </si>
  <si>
    <t xml:space="preserve">sales </t>
  </si>
  <si>
    <t xml:space="preserve">Microsoft 365 renewal</t>
  </si>
  <si>
    <t xml:space="preserve">TXN-1022</t>
  </si>
  <si>
    <t xml:space="preserve">03/04/2024</t>
  </si>
  <si>
    <t xml:space="preserve">Accounting software</t>
  </si>
  <si>
    <t xml:space="preserve">TXN-1023</t>
  </si>
  <si>
    <t xml:space="preserve">19/12/2024</t>
  </si>
  <si>
    <t xml:space="preserve">OK</t>
  </si>
  <si>
    <t xml:space="preserve">TXN-1024</t>
  </si>
  <si>
    <t xml:space="preserve">12/07/2024</t>
  </si>
  <si>
    <t xml:space="preserve">TXN-1025</t>
  </si>
  <si>
    <t xml:space="preserve">26/06/2024</t>
  </si>
  <si>
    <t xml:space="preserve">TXN-1026</t>
  </si>
  <si>
    <t xml:space="preserve">28/04/2024</t>
  </si>
  <si>
    <t xml:space="preserve">TXN-1027</t>
  </si>
  <si>
    <t xml:space="preserve">27/09/2024</t>
  </si>
  <si>
    <t xml:space="preserve">TXN-1028</t>
  </si>
  <si>
    <t xml:space="preserve">TXN-1029</t>
  </si>
  <si>
    <t xml:space="preserve">24/12/2024</t>
  </si>
  <si>
    <t xml:space="preserve">Data analytics course</t>
  </si>
  <si>
    <t xml:space="preserve">TXN-1030</t>
  </si>
  <si>
    <t xml:space="preserve">24/01/2024</t>
  </si>
  <si>
    <t xml:space="preserve">TXN-1031</t>
  </si>
  <si>
    <t xml:space="preserve">03/09/2024</t>
  </si>
  <si>
    <t xml:space="preserve">TXN-1032</t>
  </si>
  <si>
    <t xml:space="preserve">08/10/2024</t>
  </si>
  <si>
    <t xml:space="preserve">TXN-1033</t>
  </si>
  <si>
    <t xml:space="preserve">07/05/2024</t>
  </si>
  <si>
    <t xml:space="preserve">Miscellaneous</t>
  </si>
  <si>
    <t xml:space="preserve">Sundry items</t>
  </si>
  <si>
    <t xml:space="preserve">TXN-1034</t>
  </si>
  <si>
    <t xml:space="preserve">01/02/2024</t>
  </si>
  <si>
    <t xml:space="preserve">Legal advisory</t>
  </si>
  <si>
    <t xml:space="preserve">TXN-1035</t>
  </si>
  <si>
    <t xml:space="preserve">08/02/2024</t>
  </si>
  <si>
    <t xml:space="preserve">TXN-1036</t>
  </si>
  <si>
    <t xml:space="preserve">10/09/2024</t>
  </si>
  <si>
    <t xml:space="preserve">TXN-1037</t>
  </si>
  <si>
    <t xml:space="preserve">23/04/2024</t>
  </si>
  <si>
    <t xml:space="preserve">TXN-1038</t>
  </si>
  <si>
    <t xml:space="preserve">03/01/2024</t>
  </si>
  <si>
    <t xml:space="preserve">TXN-1039</t>
  </si>
  <si>
    <t xml:space="preserve">23/09/2024</t>
  </si>
  <si>
    <t xml:space="preserve">TXN-1040</t>
  </si>
  <si>
    <t xml:space="preserve">14/03/2024</t>
  </si>
  <si>
    <t xml:space="preserve">April staff payroll</t>
  </si>
  <si>
    <t xml:space="preserve">TXN-1041</t>
  </si>
  <si>
    <t xml:space="preserve">04/11/2024</t>
  </si>
  <si>
    <t xml:space="preserve">TXN-1042</t>
  </si>
  <si>
    <t xml:space="preserve">TXN-1043</t>
  </si>
  <si>
    <t xml:space="preserve">09/04/2024</t>
  </si>
  <si>
    <t xml:space="preserve">TXN-1044</t>
  </si>
  <si>
    <t xml:space="preserve">12/08/2024</t>
  </si>
  <si>
    <t xml:space="preserve">TXN-1045</t>
  </si>
  <si>
    <t xml:space="preserve">12/05/2024</t>
  </si>
  <si>
    <t xml:space="preserve">Event sponsorship</t>
  </si>
  <si>
    <t xml:space="preserve">TXN-1046</t>
  </si>
  <si>
    <t xml:space="preserve">06/05/2024</t>
  </si>
  <si>
    <t xml:space="preserve">TXN-1047</t>
  </si>
  <si>
    <t xml:space="preserve">TXN-1048</t>
  </si>
  <si>
    <t xml:space="preserve">Server maintenance</t>
  </si>
  <si>
    <t xml:space="preserve">TXN-1049</t>
  </si>
  <si>
    <t xml:space="preserve">24/02/2024</t>
  </si>
  <si>
    <t xml:space="preserve">Unclassified expense</t>
  </si>
  <si>
    <t xml:space="preserve">TXN-1050</t>
  </si>
  <si>
    <t xml:space="preserve">07/03/2024</t>
  </si>
  <si>
    <t xml:space="preserve">TXN-1051</t>
  </si>
  <si>
    <t xml:space="preserve">TXN-1052</t>
  </si>
  <si>
    <t xml:space="preserve">15/08/2024</t>
  </si>
  <si>
    <t xml:space="preserve">TXN-1053</t>
  </si>
  <si>
    <t xml:space="preserve">20/11/2024</t>
  </si>
  <si>
    <t xml:space="preserve">TXN-1054</t>
  </si>
  <si>
    <t xml:space="preserve">01/03/2024</t>
  </si>
  <si>
    <t xml:space="preserve">TXN-1055</t>
  </si>
  <si>
    <t xml:space="preserve">19/11/2024</t>
  </si>
  <si>
    <t xml:space="preserve">TXN-1056</t>
  </si>
  <si>
    <t xml:space="preserve">25/02/2024</t>
  </si>
  <si>
    <t xml:space="preserve">Staff retreat transport</t>
  </si>
  <si>
    <t xml:space="preserve">TXN-1057</t>
  </si>
  <si>
    <t xml:space="preserve">15/02/2024</t>
  </si>
  <si>
    <t xml:space="preserve">TXN-1058</t>
  </si>
  <si>
    <t xml:space="preserve">20/08/2024</t>
  </si>
  <si>
    <t xml:space="preserve">TXN-1059</t>
  </si>
  <si>
    <t xml:space="preserve">TXN-1060</t>
  </si>
  <si>
    <t xml:space="preserve">15/05/2024</t>
  </si>
  <si>
    <t xml:space="preserve">TXN-1061</t>
  </si>
  <si>
    <t xml:space="preserve">13/04/2024</t>
  </si>
  <si>
    <t xml:space="preserve">TXN-1062</t>
  </si>
  <si>
    <t xml:space="preserve">27/04/2024</t>
  </si>
  <si>
    <t xml:space="preserve">TXN-1063</t>
  </si>
  <si>
    <t xml:space="preserve">12/01/2024</t>
  </si>
  <si>
    <t xml:space="preserve">TXN-1064</t>
  </si>
  <si>
    <t xml:space="preserve">TXN-1065</t>
  </si>
  <si>
    <t xml:space="preserve">24/07/2024</t>
  </si>
  <si>
    <t xml:space="preserve">Internet subscription</t>
  </si>
  <si>
    <t xml:space="preserve">TXN-1066</t>
  </si>
  <si>
    <t xml:space="preserve">19/10/2024</t>
  </si>
  <si>
    <t xml:space="preserve">TXN-1067</t>
  </si>
  <si>
    <t xml:space="preserve">11/07/2024</t>
  </si>
  <si>
    <t xml:space="preserve">TXN-1068</t>
  </si>
  <si>
    <t xml:space="preserve">16/02/2024</t>
  </si>
  <si>
    <t xml:space="preserve">TXN-1069</t>
  </si>
  <si>
    <t xml:space="preserve">02/11/2024</t>
  </si>
  <si>
    <t xml:space="preserve">TXN-1070</t>
  </si>
  <si>
    <t xml:space="preserve">TXN-1071</t>
  </si>
  <si>
    <t xml:space="preserve">23/12/2024</t>
  </si>
  <si>
    <t xml:space="preserve">TXN-1072</t>
  </si>
  <si>
    <t xml:space="preserve">22/10/2024</t>
  </si>
  <si>
    <t xml:space="preserve">Staff welfare</t>
  </si>
  <si>
    <t xml:space="preserve">TXN-1073</t>
  </si>
  <si>
    <t xml:space="preserve">08/11/2024</t>
  </si>
  <si>
    <t xml:space="preserve">TXN-1074</t>
  </si>
  <si>
    <t xml:space="preserve">18/06/2024</t>
  </si>
  <si>
    <t xml:space="preserve">TXN-1075</t>
  </si>
  <si>
    <t xml:space="preserve">21/06/2024</t>
  </si>
  <si>
    <t xml:space="preserve">TXN-1076</t>
  </si>
  <si>
    <t xml:space="preserve">25/09/2024</t>
  </si>
  <si>
    <t xml:space="preserve">TXN-1077</t>
  </si>
  <si>
    <t xml:space="preserve">09/02/2024</t>
  </si>
  <si>
    <t xml:space="preserve">TXN-1078</t>
  </si>
  <si>
    <t xml:space="preserve">16/01/2024</t>
  </si>
  <si>
    <t xml:space="preserve">TXN-1079</t>
  </si>
  <si>
    <t xml:space="preserve">23/10/2024</t>
  </si>
  <si>
    <t xml:space="preserve">TXN-1080</t>
  </si>
  <si>
    <t xml:space="preserve">18/08/2024</t>
  </si>
  <si>
    <t xml:space="preserve">TXN-1081</t>
  </si>
  <si>
    <t xml:space="preserve">TXN-1082</t>
  </si>
  <si>
    <t xml:space="preserve">Financial review</t>
  </si>
  <si>
    <t xml:space="preserve">TXN-1083</t>
  </si>
  <si>
    <t xml:space="preserve">TXN-1084</t>
  </si>
  <si>
    <t xml:space="preserve">TXN-1085</t>
  </si>
  <si>
    <t xml:space="preserve">01/05/2024</t>
  </si>
  <si>
    <t xml:space="preserve">TXN-1086</t>
  </si>
  <si>
    <t xml:space="preserve">28/11/2024</t>
  </si>
  <si>
    <t xml:space="preserve">TXN-1087</t>
  </si>
  <si>
    <t xml:space="preserve">06/06/2024</t>
  </si>
  <si>
    <t xml:space="preserve">TXN-1088</t>
  </si>
  <si>
    <t xml:space="preserve">19/02/2024</t>
  </si>
  <si>
    <t xml:space="preserve">TXN-1089</t>
  </si>
  <si>
    <t xml:space="preserve">20/07/2024</t>
  </si>
  <si>
    <t xml:space="preserve">TXN-1090</t>
  </si>
  <si>
    <t xml:space="preserve">14/10/2024</t>
  </si>
  <si>
    <t xml:space="preserve">TXN-1091</t>
  </si>
  <si>
    <t xml:space="preserve">TXN-1092</t>
  </si>
  <si>
    <t xml:space="preserve">16/10/2024</t>
  </si>
  <si>
    <t xml:space="preserve">TXN-1093</t>
  </si>
  <si>
    <t xml:space="preserve">TXN-1094</t>
  </si>
  <si>
    <t xml:space="preserve">27/05/2024</t>
  </si>
  <si>
    <t xml:space="preserve">TXN-1095</t>
  </si>
  <si>
    <t xml:space="preserve">23/08/2024</t>
  </si>
  <si>
    <t xml:space="preserve">TXN-1096</t>
  </si>
  <si>
    <t xml:space="preserve">02/10/2024</t>
  </si>
  <si>
    <t xml:space="preserve">TXN-1097</t>
  </si>
  <si>
    <t xml:space="preserve">TXN-1098</t>
  </si>
  <si>
    <t xml:space="preserve">TXN-1099</t>
  </si>
  <si>
    <t xml:space="preserve">11/06/2024</t>
  </si>
  <si>
    <t xml:space="preserve">TXN-1100</t>
  </si>
  <si>
    <t xml:space="preserve">02/09/2024</t>
  </si>
  <si>
    <t xml:space="preserve">TXN-1101</t>
  </si>
  <si>
    <t xml:space="preserve">22/01/2024</t>
  </si>
  <si>
    <t xml:space="preserve">TXN-1102</t>
  </si>
  <si>
    <t xml:space="preserve">21/08/2024</t>
  </si>
  <si>
    <t xml:space="preserve">TXN-1103</t>
  </si>
  <si>
    <t xml:space="preserve">21/01/2024</t>
  </si>
  <si>
    <t xml:space="preserve">TXN-1104</t>
  </si>
  <si>
    <t xml:space="preserve">TXN-1105</t>
  </si>
  <si>
    <t xml:space="preserve">09/12/2024</t>
  </si>
  <si>
    <t xml:space="preserve">TXN-1106</t>
  </si>
  <si>
    <t xml:space="preserve">20/04/2024</t>
  </si>
  <si>
    <t xml:space="preserve">TXN-1107</t>
  </si>
  <si>
    <t xml:space="preserve">TXN-1108</t>
  </si>
  <si>
    <t xml:space="preserve">15/03/2024</t>
  </si>
  <si>
    <t xml:space="preserve">TXN-1109</t>
  </si>
  <si>
    <t xml:space="preserve">28/06/2024</t>
  </si>
  <si>
    <t xml:space="preserve">TXN-1110</t>
  </si>
  <si>
    <t xml:space="preserve">TXN-1111</t>
  </si>
  <si>
    <t xml:space="preserve">11/10/2024</t>
  </si>
  <si>
    <t xml:space="preserve">TXN-1112</t>
  </si>
  <si>
    <t xml:space="preserve">03/03/2024</t>
  </si>
  <si>
    <t xml:space="preserve">TXN-1113</t>
  </si>
  <si>
    <t xml:space="preserve">13/09/2024</t>
  </si>
  <si>
    <t xml:space="preserve">TXN-1114</t>
  </si>
  <si>
    <t xml:space="preserve">10/11/2024</t>
  </si>
  <si>
    <t xml:space="preserve">TXN-1115</t>
  </si>
  <si>
    <t xml:space="preserve">TXN-1116</t>
  </si>
  <si>
    <t xml:space="preserve">17/04/2024</t>
  </si>
  <si>
    <t xml:space="preserve">TXN-1117</t>
  </si>
  <si>
    <t xml:space="preserve">19/08/2024</t>
  </si>
  <si>
    <t xml:space="preserve">TXN-1118</t>
  </si>
  <si>
    <t xml:space="preserve">10/08/2024</t>
  </si>
  <si>
    <t xml:space="preserve">TXN-1119</t>
  </si>
  <si>
    <t xml:space="preserve">TXN-1120</t>
  </si>
  <si>
    <t xml:space="preserve">19/06/2024</t>
  </si>
  <si>
    <t xml:space="preserve">Month</t>
  </si>
  <si>
    <t xml:space="preserve">Department (Clean)</t>
  </si>
  <si>
    <t xml:space="preserve">Status (Clean)</t>
  </si>
  <si>
    <t xml:space="preserve">Quarter</t>
  </si>
  <si>
    <t xml:space="preserve">Raw Dept</t>
  </si>
  <si>
    <t xml:space="preserve">Clean Dept</t>
  </si>
  <si>
    <t xml:space="preserve">Raw Status</t>
  </si>
  <si>
    <t xml:space="preserve">Clean Status</t>
  </si>
  <si>
    <t xml:space="preserve">Month Num</t>
  </si>
  <si>
    <t xml:space="preserve">Month Name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</si>
  <si>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</si>
  <si>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</si>
  <si>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</si>
  <si>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</si>
  <si>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</si>
  <si>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</si>
  <si>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</si>
  <si>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</si>
  <si>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</si>
  <si>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</si>
  <si>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</si>
  <si>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</si>
  <si>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BUDGET vs ACTUAL ANALYSIS — FY 2024</t>
  </si>
  <si>
    <t xml:space="preserve">Annual departmental spend tracked against approved budget | Currency: Nigerian Naira (NGN)</t>
  </si>
  <si>
    <t xml:space="preserve">Annual Budget (NGN)</t>
  </si>
  <si>
    <t xml:space="preserve">Q1 Actual</t>
  </si>
  <si>
    <t xml:space="preserve">Q2 Actual</t>
  </si>
  <si>
    <t xml:space="preserve">Q3 Actual</t>
  </si>
  <si>
    <t xml:space="preserve">Q4 Actual</t>
  </si>
  <si>
    <t xml:space="preserve">Total Actual (NGN)</t>
  </si>
  <si>
    <t xml:space="preserve">Variance (NGN)</t>
  </si>
  <si>
    <t xml:space="preserve">Variance %</t>
  </si>
  <si>
    <t xml:space="preserve">MONTHLY EXPENDITURE TREND — FY 2024</t>
  </si>
  <si>
    <t xml:space="preserve">Total</t>
  </si>
  <si>
    <t xml:space="preserve">Avg/Month</t>
  </si>
  <si>
    <t xml:space="preserve">Peak Month</t>
  </si>
  <si>
    <t xml:space="preserve">EXPENDITURE BY CATEGORY — FY 2024</t>
  </si>
  <si>
    <t xml:space="preserve">Total Spend (NGN)</t>
  </si>
  <si>
    <t xml:space="preserve">% of Total</t>
  </si>
  <si>
    <t xml:space="preserve">Approved Only (NGN)</t>
  </si>
  <si>
    <t xml:space="preserve">Avg Transaction</t>
  </si>
  <si>
    <t xml:space="preserve">Count</t>
  </si>
  <si>
    <t xml:space="preserve">Priority Flag</t>
  </si>
  <si>
    <t xml:space="preserve">Priority</t>
  </si>
  <si>
    <t xml:space="preserve">High</t>
  </si>
  <si>
    <t xml:space="preserve">Medium</t>
  </si>
  <si>
    <t xml:space="preserve">Low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</si>
</sst>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0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FFFFFF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sz val="9"/>
      <color rgb="FF595959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375623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335985"/>
      </patternFill>
    </fill>
    <fill>
      <patternFill patternType="solid">
        <fgColor rgb="FFD6E4F0"/>
        <bgColor rgb="FFC9DAE4"/>
      </patternFill>
    </fill>
    <fill>
      <patternFill patternType="solid">
        <fgColor rgb="FF2E75B6"/>
        <bgColor rgb="FF4472C4"/>
      </patternFill>
    </fill>
    <fill>
      <patternFill patternType="solid">
        <fgColor rgb="FF375623"/>
        <bgColor rgb="FF595959"/>
      </patternFill>
    </fill>
    <fill>
      <patternFill patternType="solid">
        <fgColor rgb="FFC55A11"/>
        <bgColor rgb="FFB86536"/>
      </patternFill>
    </fill>
    <fill>
      <patternFill patternType="solid">
        <fgColor rgb="FF4472C4"/>
        <bgColor rgb="FF4F7CB6"/>
      </patternFill>
    </fill>
    <fill>
      <patternFill patternType="solid">
        <fgColor rgb="FFFFFFFF"/>
        <bgColor rgb="FFF9F9F9"/>
      </patternFill>
    </fill>
    <fill>
      <patternFill patternType="solid">
        <fgColor rgb="FFE8F4FD"/>
        <bgColor rgb="FFF2F2F2"/>
      </patternFill>
    </fill>
    <fill>
      <patternFill patternType="solid">
        <fgColor rgb="FFF2F2F2"/>
        <bgColor rgb="FFE8F4F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55A11"/>
      <rgbColor rgb="FF819C47"/>
      <rgbColor rgb="FF0000FF"/>
      <rgbColor rgb="FFCEDBBB"/>
      <rgbColor rgb="FFF5B492"/>
      <rgbColor rgb="FFA6C274"/>
      <rgbColor rgb="FFB86536"/>
      <rgbColor rgb="FF4F7CB6"/>
      <rgbColor rgb="FFBFD1A3"/>
      <rgbColor rgb="FF6C843A"/>
      <rgbColor rgb="FFCD8A89"/>
      <rgbColor rgb="FF30788C"/>
      <rgbColor rgb="FFBFBFBF"/>
      <rgbColor rgb="FF8A878D"/>
      <rgbColor rgb="FFB1B4D0"/>
      <rgbColor rgb="FFA03E3C"/>
      <rgbColor rgb="FFF9F9F9"/>
      <rgbColor rgb="FFE8F4FD"/>
      <rgbColor rgb="FF695186"/>
      <rgbColor rgb="FFF59957"/>
      <rgbColor rgb="FF2E75B6"/>
      <rgbColor rgb="FFD2CCDA"/>
      <rgbColor rgb="FFF6D7C8"/>
      <rgbColor rgb="FFE2C9C8"/>
      <rgbColor rgb="FFF5CBB8"/>
      <rgbColor rgb="FFC9DAE4"/>
      <rgbColor rgb="FFE2863A"/>
      <rgbColor rgb="FFD17B34"/>
      <rgbColor rgb="FF3D6A9D"/>
      <rgbColor rgb="FFD9D9D9"/>
      <rgbColor rgb="FF88BFD2"/>
      <rgbColor rgb="FFD6E4F0"/>
      <rgbColor rgb="FFD8E1CA"/>
      <rgbColor rgb="FFF2F2F2"/>
      <rgbColor rgb="FFB4CFDD"/>
      <rgbColor rgb="FFD6A9A9"/>
      <rgbColor rgb="FFDDB9B9"/>
      <rgbColor rgb="FFF6C0A6"/>
      <rgbColor rgb="FF4472C4"/>
      <rgbColor rgb="FF4AA5C1"/>
      <rgbColor rgb="FF90AF50"/>
      <rgbColor rgb="FFF5A779"/>
      <rgbColor rgb="FFEF8E3E"/>
      <rgbColor rgb="FFED7D31"/>
      <rgbColor rgb="FF7C619C"/>
      <rgbColor rgb="FF95A1C8"/>
      <rgbColor rgb="FF335985"/>
      <rgbColor rgb="FF3A8FA5"/>
      <rgbColor rgb="FF595959"/>
      <rgbColor rgb="FF584471"/>
      <rgbColor rgb="FF873432"/>
      <rgbColor rgb="FFB54844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 Actual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Budget_vs_Actual!B4</c:f>
              <c:strCache>
                <c:ptCount val="1"/>
                <c:pt idx="0">
                  <c:v>Annual Budget (NGN)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Budget_vs_Actual!$A$5:$A$10</c:f>
              <c:strCache>
                <c:ptCount val="6"/>
                <c:pt idx="0">
                  <c:v>Sales</c:v>
                </c:pt>
                <c:pt idx="1">
                  <c:v>Operations</c:v>
                </c:pt>
                <c:pt idx="2">
                  <c:v>IT</c:v>
                </c:pt>
                <c:pt idx="3">
                  <c:v>HR</c:v>
                </c:pt>
                <c:pt idx="4">
                  <c:v>Finance</c:v>
                </c:pt>
                <c:pt idx="5">
                  <c:v>Marketing</c:v>
                </c:pt>
              </c:strCache>
            </c:strRef>
          </c:cat>
          <c:val>
            <c:numRef>
              <c:f>Budget_vs_Actual!$B$5:$B$10</c:f>
              <c:numCache>
                <c:formatCode>#,##0</c:formatCode>
                <c:ptCount val="6"/>
                <c:pt idx="0">
                  <c:v>45000000</c:v>
                </c:pt>
                <c:pt idx="1">
                  <c:v>38000000</c:v>
                </c:pt>
                <c:pt idx="2">
                  <c:v>22000000</c:v>
                </c:pt>
                <c:pt idx="3">
                  <c:v>18500000</c:v>
                </c:pt>
                <c:pt idx="4">
                  <c:v>15000000</c:v>
                </c:pt>
                <c:pt idx="5">
                  <c:v>25000000</c:v>
                </c:pt>
              </c:numCache>
            </c:numRef>
          </c:val>
        </c:ser>
        <c:ser>
          <c:idx val="1"/>
          <c:order val="1"/>
          <c:tx>
            <c:strRef>
              <c:f>Budget_vs_Actual!G4</c:f>
              <c:strCache>
                <c:ptCount val="1"/>
                <c:pt idx="0">
                  <c:v>Total Actual (NGN)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Budget_vs_Actual!$A$5:$A$10</c:f>
              <c:strCache>
                <c:ptCount val="6"/>
                <c:pt idx="0">
                  <c:v>Sales</c:v>
                </c:pt>
                <c:pt idx="1">
                  <c:v>Operations</c:v>
                </c:pt>
                <c:pt idx="2">
                  <c:v>IT</c:v>
                </c:pt>
                <c:pt idx="3">
                  <c:v>HR</c:v>
                </c:pt>
                <c:pt idx="4">
                  <c:v>Finance</c:v>
                </c:pt>
                <c:pt idx="5">
                  <c:v>Marketing</c:v>
                </c:pt>
              </c:strCache>
            </c:strRef>
          </c:cat>
          <c:val>
            <c:numRef>
              <c:f>Budget_vs_Actual!$G$5:$G$10</c:f>
              <c:numCache>
                <c:formatCode>#,##0</c:formatCode>
                <c:ptCount val="6"/>
                <c:pt idx="0">
                  <c:v>38869485</c:v>
                </c:pt>
                <c:pt idx="1">
                  <c:v>34049545</c:v>
                </c:pt>
                <c:pt idx="2">
                  <c:v>17507714</c:v>
                </c:pt>
                <c:pt idx="3">
                  <c:v>16868476</c:v>
                </c:pt>
                <c:pt idx="4">
                  <c:v>15388066</c:v>
                </c:pt>
                <c:pt idx="5">
                  <c:v>24512746</c:v>
                </c:pt>
              </c:numCache>
            </c:numRef>
          </c:val>
        </c:ser>
        <c:gapWidth val="150"/>
        <c:overlap val="0"/>
        <c:axId val="20724151"/>
        <c:axId val="48395524"/>
      </c:barChart>
      <c:catAx>
        <c:axId val="207241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395524"/>
        <c:crosses val="autoZero"/>
        <c:auto val="1"/>
        <c:lblAlgn val="ctr"/>
        <c:lblOffset val="100"/>
        <c:noMultiLvlLbl val="0"/>
      </c:catAx>
      <c:valAx>
        <c:axId val="483955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(NGN)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7241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Expenditure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31557e"/>
            </a:solidFill>
            <a:ln w="47520">
              <a:solidFill>
                <a:srgbClr val="31557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Monthly_Trend!$B$4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803230"/>
            </a:solidFill>
            <a:ln w="47520">
              <a:solidFill>
                <a:srgbClr val="80323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Monthly_Trend!$C$4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667d38"/>
            </a:solidFill>
            <a:ln w="47520">
              <a:solidFill>
                <a:srgbClr val="667d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Monthly_Trend!$D$4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54406b"/>
            </a:solidFill>
            <a:ln w="47520">
              <a:solidFill>
                <a:srgbClr val="54406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Monthly_Trend!$E$4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2e7285"/>
            </a:solidFill>
            <a:ln w="47520">
              <a:solidFill>
                <a:srgbClr val="2e728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Monthly_Trend!$F$4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a6622a"/>
            </a:solidFill>
            <a:ln w="47520">
              <a:solidFill>
                <a:srgbClr val="a6622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Monthly_Trend!$G$4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375d8b"/>
            </a:solidFill>
            <a:ln w="47520">
              <a:solidFill>
                <a:srgbClr val="375d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Monthly_Trend!$H$4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8d3735"/>
            </a:solidFill>
            <a:ln w="47520">
              <a:solidFill>
                <a:srgbClr val="8d37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Monthly_Trend!$I$4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728a3e"/>
            </a:solidFill>
            <a:ln w="47520">
              <a:solidFill>
                <a:srgbClr val="728a3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Monthly_Trend!$J$4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5c4777"/>
            </a:solidFill>
            <a:ln w="47520">
              <a:solidFill>
                <a:srgbClr val="5c477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Monthly_Trend!$K$4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347e92"/>
            </a:solidFill>
            <a:ln w="47520">
              <a:solidFill>
                <a:srgbClr val="347e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Monthly_Trend!$L$4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b76d2f"/>
            </a:solidFill>
            <a:ln w="47520">
              <a:solidFill>
                <a:srgbClr val="b76d2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Monthly_Trend!$M$4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3c6697"/>
            </a:solidFill>
            <a:ln w="47520">
              <a:solidFill>
                <a:srgbClr val="3c66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Monthly_Trend!$B$5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9a3d3a"/>
            </a:solidFill>
            <a:ln w="47520">
              <a:solidFill>
                <a:srgbClr val="9a3d3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Monthly_Trend!$C$5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7c9644"/>
            </a:solidFill>
            <a:ln w="47520">
              <a:solidFill>
                <a:srgbClr val="7c96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Monthly_Trend!$D$5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654e81"/>
            </a:solidFill>
            <a:ln w="47520">
              <a:solidFill>
                <a:srgbClr val="654e8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Monthly_Trend!$E$5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39899f"/>
            </a:solidFill>
            <a:ln w="47520">
              <a:solidFill>
                <a:srgbClr val="39899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Monthly_Trend!$F$5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c87732"/>
            </a:solidFill>
            <a:ln w="47520">
              <a:solidFill>
                <a:srgbClr val="c877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Monthly_Trend!$G$5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406da2"/>
            </a:solidFill>
            <a:ln w="47520">
              <a:solidFill>
                <a:srgbClr val="406da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Monthly_Trend!$H$5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a5413f"/>
            </a:solidFill>
            <a:ln w="47520">
              <a:solidFill>
                <a:srgbClr val="a541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Monthly_Trend!$I$5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85a149"/>
            </a:solidFill>
            <a:ln w="47520">
              <a:solidFill>
                <a:srgbClr val="85a14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Monthly_Trend!$J$5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6c548a"/>
            </a:solidFill>
            <a:ln w="47520">
              <a:solidFill>
                <a:srgbClr val="6c548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Monthly_Trend!$K$5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3c94ab"/>
            </a:solidFill>
            <a:ln w="47520">
              <a:solidFill>
                <a:srgbClr val="3c94a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Monthly_Trend!$L$5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d67f37"/>
            </a:solidFill>
            <a:ln w="47520">
              <a:solidFill>
                <a:srgbClr val="d67f3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Monthly_Trend!$M$5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4574ad"/>
            </a:solidFill>
            <a:ln w="47520">
              <a:solidFill>
                <a:srgbClr val="4574a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Monthly_Trend!$B$6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b04642"/>
            </a:solidFill>
            <a:ln w="47520">
              <a:solidFill>
                <a:srgbClr val="b0464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Monthly_Trend!$C$6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8cab4e"/>
            </a:solidFill>
            <a:ln w="47520">
              <a:solidFill>
                <a:srgbClr val="8cab4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Monthly_Trend!$D$6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735893"/>
            </a:solidFill>
            <a:ln w="47520">
              <a:solidFill>
                <a:srgbClr val="73589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Monthly_Trend!$E$6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409db5"/>
            </a:solidFill>
            <a:ln w="47520">
              <a:solidFill>
                <a:srgbClr val="409db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Monthly_Trend!$F$6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e2863a"/>
            </a:solidFill>
            <a:ln w="47520">
              <a:solidFill>
                <a:srgbClr val="e2863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Monthly_Trend!$G$6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30"/>
          <c:order val="30"/>
          <c:spPr>
            <a:solidFill>
              <a:srgbClr val="487ab6"/>
            </a:solidFill>
            <a:ln w="47520">
              <a:solidFill>
                <a:srgbClr val="487a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Monthly_Trend!$H$6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31"/>
          <c:order val="31"/>
          <c:spPr>
            <a:solidFill>
              <a:srgbClr val="b94946"/>
            </a:solidFill>
            <a:ln w="47520">
              <a:solidFill>
                <a:srgbClr val="b9494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Monthly_Trend!$I$6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32"/>
          <c:order val="32"/>
          <c:spPr>
            <a:solidFill>
              <a:srgbClr val="94b352"/>
            </a:solidFill>
            <a:ln w="47520">
              <a:solidFill>
                <a:srgbClr val="94b35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Monthly_Trend!$J$6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33"/>
          <c:order val="33"/>
          <c:spPr>
            <a:solidFill>
              <a:srgbClr val="795c9b"/>
            </a:solidFill>
            <a:ln w="47520">
              <a:solidFill>
                <a:srgbClr val="795c9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Monthly_Trend!$K$6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34"/>
          <c:order val="34"/>
          <c:spPr>
            <a:solidFill>
              <a:srgbClr val="44a5bf"/>
            </a:solidFill>
            <a:ln w="47520">
              <a:solidFill>
                <a:srgbClr val="44a5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Monthly_Trend!$L$6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35"/>
          <c:order val="35"/>
          <c:spPr>
            <a:solidFill>
              <a:srgbClr val="ef8e3e"/>
            </a:solidFill>
            <a:ln w="47520">
              <a:solidFill>
                <a:srgbClr val="ef8e3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Monthly_Trend!$M$6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36"/>
          <c:order val="36"/>
          <c:spPr>
            <a:solidFill>
              <a:srgbClr val="5f87be"/>
            </a:solidFill>
            <a:ln w="47520">
              <a:solidFill>
                <a:srgbClr val="5f87b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Monthly_Trend!$B$7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37"/>
          <c:order val="37"/>
          <c:spPr>
            <a:solidFill>
              <a:srgbClr val="c1605e"/>
            </a:solidFill>
            <a:ln w="47520">
              <a:solidFill>
                <a:srgbClr val="c1605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Monthly_Trend!$C$7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38"/>
          <c:order val="38"/>
          <c:spPr>
            <a:solidFill>
              <a:srgbClr val="9fbc66"/>
            </a:solidFill>
            <a:ln w="47520">
              <a:solidFill>
                <a:srgbClr val="9fbc6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Monthly_Trend!$D$7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39"/>
          <c:order val="39"/>
          <c:spPr>
            <a:solidFill>
              <a:srgbClr val="8770a5"/>
            </a:solidFill>
            <a:ln w="47520">
              <a:solidFill>
                <a:srgbClr val="8770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Monthly_Trend!$E$7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40"/>
          <c:order val="40"/>
          <c:spPr>
            <a:solidFill>
              <a:srgbClr val="5baec7"/>
            </a:solidFill>
            <a:ln w="47520">
              <a:solidFill>
                <a:srgbClr val="5baec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Monthly_Trend!$F$7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41"/>
          <c:order val="41"/>
          <c:spPr>
            <a:solidFill>
              <a:srgbClr val="f59957"/>
            </a:solidFill>
            <a:ln w="47520">
              <a:solidFill>
                <a:srgbClr val="f599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Monthly_Trend!$G$7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42"/>
          <c:order val="42"/>
          <c:spPr>
            <a:solidFill>
              <a:srgbClr val="7e9ac6"/>
            </a:solidFill>
            <a:ln w="47520">
              <a:solidFill>
                <a:srgbClr val="7e9ac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Monthly_Trend!$H$7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43"/>
          <c:order val="43"/>
          <c:spPr>
            <a:solidFill>
              <a:srgbClr val="c87e7d"/>
            </a:solidFill>
            <a:ln w="47520">
              <a:solidFill>
                <a:srgbClr val="c87e7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Monthly_Trend!$I$7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44"/>
          <c:order val="44"/>
          <c:spPr>
            <a:solidFill>
              <a:srgbClr val="acc582"/>
            </a:solidFill>
            <a:ln w="47520">
              <a:solidFill>
                <a:srgbClr val="acc5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Monthly_Trend!$J$7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45"/>
          <c:order val="45"/>
          <c:spPr>
            <a:solidFill>
              <a:srgbClr val="9a88b2"/>
            </a:solidFill>
            <a:ln w="47520">
              <a:solidFill>
                <a:srgbClr val="9a88b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Monthly_Trend!$K$7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46"/>
          <c:order val="46"/>
          <c:spPr>
            <a:solidFill>
              <a:srgbClr val="7cb8cd"/>
            </a:solidFill>
            <a:ln w="47520">
              <a:solidFill>
                <a:srgbClr val="7cb8c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Monthly_Trend!$L$7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47"/>
          <c:order val="47"/>
          <c:spPr>
            <a:solidFill>
              <a:srgbClr val="f5a779"/>
            </a:solidFill>
            <a:ln w="47520">
              <a:solidFill>
                <a:srgbClr val="f5a7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Monthly_Trend!$M$7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48"/>
          <c:order val="48"/>
          <c:spPr>
            <a:solidFill>
              <a:srgbClr val="96abcd"/>
            </a:solidFill>
            <a:ln w="47520">
              <a:solidFill>
                <a:srgbClr val="96abc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Monthly_Trend!$B$8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49"/>
          <c:order val="49"/>
          <c:spPr>
            <a:solidFill>
              <a:srgbClr val="cf9695"/>
            </a:solidFill>
            <a:ln w="47520">
              <a:solidFill>
                <a:srgbClr val="cf969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Monthly_Trend!$C$8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50"/>
          <c:order val="50"/>
          <c:spPr>
            <a:solidFill>
              <a:srgbClr val="b7cc99"/>
            </a:solidFill>
            <a:ln w="47520">
              <a:solidFill>
                <a:srgbClr val="b7cc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Monthly_Trend!$D$8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51"/>
          <c:order val="51"/>
          <c:spPr>
            <a:solidFill>
              <a:srgbClr val="aa9dbc"/>
            </a:solidFill>
            <a:ln w="47520">
              <a:solidFill>
                <a:srgbClr val="aa9db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Monthly_Trend!$E$8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52"/>
          <c:order val="52"/>
          <c:spPr>
            <a:solidFill>
              <a:srgbClr val="93c2d4"/>
            </a:solidFill>
            <a:ln w="47520">
              <a:solidFill>
                <a:srgbClr val="93c2d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Monthly_Trend!$F$8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53"/>
          <c:order val="53"/>
          <c:spPr>
            <a:solidFill>
              <a:srgbClr val="f5b492"/>
            </a:solidFill>
            <a:ln w="47520">
              <a:solidFill>
                <a:srgbClr val="f5b4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Monthly_Trend!$G$8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54"/>
          <c:order val="54"/>
          <c:spPr>
            <a:solidFill>
              <a:srgbClr val="a9b8d4"/>
            </a:solidFill>
            <a:ln w="47520">
              <a:solidFill>
                <a:srgbClr val="a9b8d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Monthly_Trend!$H$8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55"/>
          <c:order val="55"/>
          <c:spPr>
            <a:solidFill>
              <a:srgbClr val="d6a9a9"/>
            </a:solidFill>
            <a:ln w="47520">
              <a:solidFill>
                <a:srgbClr val="d6a9a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Monthly_Trend!$I$8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56"/>
          <c:order val="56"/>
          <c:spPr>
            <a:solidFill>
              <a:srgbClr val="c3d3ac"/>
            </a:solidFill>
            <a:ln w="47520">
              <a:solidFill>
                <a:srgbClr val="c3d3a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Monthly_Trend!$J$8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57"/>
          <c:order val="57"/>
          <c:spPr>
            <a:solidFill>
              <a:srgbClr val="b8afc7"/>
            </a:solidFill>
            <a:ln w="47520">
              <a:solidFill>
                <a:srgbClr val="b8afc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Monthly_Trend!$K$8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58"/>
          <c:order val="58"/>
          <c:spPr>
            <a:solidFill>
              <a:srgbClr val="a8ccd9"/>
            </a:solidFill>
            <a:ln w="47520">
              <a:solidFill>
                <a:srgbClr val="a8ccd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Monthly_Trend!$L$8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59"/>
          <c:order val="59"/>
          <c:spPr>
            <a:solidFill>
              <a:srgbClr val="f6c0a6"/>
            </a:solidFill>
            <a:ln w="47520">
              <a:solidFill>
                <a:srgbClr val="f6c0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Monthly_Trend!$M$8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60"/>
          <c:order val="60"/>
          <c:spPr>
            <a:solidFill>
              <a:srgbClr val="b9c6dc"/>
            </a:solidFill>
            <a:ln w="47520">
              <a:solidFill>
                <a:srgbClr val="b9c6d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Monthly_Trend!$B$9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61"/>
          <c:order val="61"/>
          <c:spPr>
            <a:solidFill>
              <a:srgbClr val="ddb9b9"/>
            </a:solidFill>
            <a:ln w="47520">
              <a:solidFill>
                <a:srgbClr val="ddb9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Monthly_Trend!$C$9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62"/>
          <c:order val="62"/>
          <c:spPr>
            <a:solidFill>
              <a:srgbClr val="cedbbb"/>
            </a:solidFill>
            <a:ln w="47520">
              <a:solidFill>
                <a:srgbClr val="cedb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Monthly_Trend!$D$9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63"/>
          <c:order val="63"/>
          <c:spPr>
            <a:solidFill>
              <a:srgbClr val="c5bed0"/>
            </a:solidFill>
            <a:ln w="47520">
              <a:solidFill>
                <a:srgbClr val="c5bed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Monthly_Trend!$E$9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64"/>
          <c:order val="64"/>
          <c:spPr>
            <a:solidFill>
              <a:srgbClr val="b9d4de"/>
            </a:solidFill>
            <a:ln w="47520">
              <a:solidFill>
                <a:srgbClr val="b9d4d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Monthly_Trend!$F$9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65"/>
          <c:order val="65"/>
          <c:spPr>
            <a:solidFill>
              <a:srgbClr val="f5cbb8"/>
            </a:solidFill>
            <a:ln w="47520">
              <a:solidFill>
                <a:srgbClr val="f5cbb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Monthly_Trend!$G$9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66"/>
          <c:order val="66"/>
          <c:spPr>
            <a:solidFill>
              <a:srgbClr val="c9d2e2"/>
            </a:solidFill>
            <a:ln w="47520">
              <a:solidFill>
                <a:srgbClr val="c9d2e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Monthly_Trend!$H$9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67"/>
          <c:order val="67"/>
          <c:spPr>
            <a:solidFill>
              <a:srgbClr val="e2c9c8"/>
            </a:solidFill>
            <a:ln w="47520">
              <a:solidFill>
                <a:srgbClr val="e2c9c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Monthly_Trend!$I$9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68"/>
          <c:order val="68"/>
          <c:spPr>
            <a:solidFill>
              <a:srgbClr val="d8e1ca"/>
            </a:solidFill>
            <a:ln w="47520">
              <a:solidFill>
                <a:srgbClr val="d8e1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Monthly_Trend!$J$9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69"/>
          <c:order val="69"/>
          <c:spPr>
            <a:solidFill>
              <a:srgbClr val="d2ccda"/>
            </a:solidFill>
            <a:ln w="47520">
              <a:solidFill>
                <a:srgbClr val="d2ccd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Monthly_Trend!$K$9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70"/>
          <c:order val="70"/>
          <c:spPr>
            <a:solidFill>
              <a:srgbClr val="c8dce4"/>
            </a:solidFill>
            <a:ln w="47520">
              <a:solidFill>
                <a:srgbClr val="c8dce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Monthly_Trend!$L$9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71"/>
          <c:order val="71"/>
          <c:spPr>
            <a:solidFill>
              <a:srgbClr val="f6d7c8"/>
            </a:solidFill>
            <a:ln w="47520">
              <a:solidFill>
                <a:srgbClr val="f6d7c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Monthly_Trend!$M$9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357175"/>
        <c:axId val="72448631"/>
      </c:lineChart>
      <c:catAx>
        <c:axId val="523571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448631"/>
        <c:crosses val="autoZero"/>
        <c:auto val="1"/>
        <c:lblAlgn val="ctr"/>
        <c:lblOffset val="100"/>
        <c:noMultiLvlLbl val="0"/>
      </c:catAx>
      <c:valAx>
        <c:axId val="724486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(NGN)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3571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5</xdr:col>
      <xdr:colOff>558720</xdr:colOff>
      <xdr:row>35</xdr:row>
      <xdr:rowOff>128520</xdr:rowOff>
    </xdr:to>
    <xdr:graphicFrame>
      <xdr:nvGraphicFramePr>
        <xdr:cNvPr id="0" name="Chart 1"/>
        <xdr:cNvGraphicFramePr/>
      </xdr:nvGraphicFramePr>
      <xdr:xfrm>
        <a:off x="0" y="275256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9</xdr:col>
      <xdr:colOff>448200</xdr:colOff>
      <xdr:row>34</xdr:row>
      <xdr:rowOff>128880</xdr:rowOff>
    </xdr:to>
    <xdr:graphicFrame>
      <xdr:nvGraphicFramePr>
        <xdr:cNvPr id="1" name="Chart 1"/>
        <xdr:cNvGraphicFramePr/>
      </xdr:nvGraphicFramePr>
      <xdr:xfrm>
        <a:off x="0" y="25052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4"/>
    <col collapsed="false" customWidth="true" hidden="false" outlineLevel="0" max="7" min="6" style="0" width="2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2" min="11" style="0" width="2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7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customFormat="false" ht="21.75" hidden="false" customHeight="true" outlineLevel="0" collapsed="false">
      <c r="A5" s="3" t="s">
        <v>2</v>
      </c>
      <c r="B5" s="3"/>
      <c r="C5" s="3"/>
      <c r="D5" s="4" t="s">
        <v>3</v>
      </c>
      <c r="E5" s="4"/>
      <c r="F5" s="4"/>
      <c r="G5" s="5" t="s">
        <v>4</v>
      </c>
      <c r="H5" s="5"/>
      <c r="I5" s="5"/>
      <c r="J5" s="6" t="s">
        <v>5</v>
      </c>
      <c r="K5" s="6"/>
      <c r="L5" s="6"/>
    </row>
    <row r="6" customFormat="false" ht="4.5" hidden="false" customHeight="true" outlineLevel="0" collapsed="false">
      <c r="A6" s="3"/>
      <c r="B6" s="3"/>
      <c r="C6" s="3"/>
      <c r="D6" s="4"/>
      <c r="E6" s="4"/>
      <c r="F6" s="4"/>
      <c r="G6" s="5"/>
      <c r="H6" s="5"/>
      <c r="I6" s="5"/>
      <c r="J6" s="6"/>
      <c r="K6" s="6"/>
      <c r="L6" s="6"/>
    </row>
    <row r="7" customFormat="false" ht="30" hidden="false" customHeight="true" outlineLevel="0" collapsed="false">
      <c r="A7" s="7" t="n">
        <f aca="false">SUM(Budget_vs_Actual!B5:B10)</f>
        <v>163500000</v>
      </c>
      <c r="B7" s="7"/>
      <c r="C7" s="7"/>
      <c r="D7" s="8" t="n">
        <f aca="false">SUM(Budget_vs_Actual!G5:G10)</f>
        <v>147196032</v>
      </c>
      <c r="E7" s="8"/>
      <c r="F7" s="8"/>
      <c r="G7" s="9" t="n">
        <f aca="false">SUM(Budget_vs_Actual!H5:H10)</f>
        <v>-16303968</v>
      </c>
      <c r="H7" s="9"/>
      <c r="I7" s="9"/>
      <c r="J7" s="10" t="n">
        <f aca="false">IFERROR(COUNTIF(Cleaned_Data!I2:I121,"Approved")/COUNTA(Cleaned_Data!I2:I121),0)</f>
        <v>0</v>
      </c>
      <c r="K7" s="10"/>
      <c r="L7" s="10"/>
    </row>
    <row r="8" customFormat="false" ht="9.75" hidden="false" customHeight="true" outlineLevel="0" collapsed="false">
      <c r="A8" s="7"/>
      <c r="B8" s="7"/>
      <c r="C8" s="7"/>
      <c r="D8" s="8"/>
      <c r="E8" s="8"/>
      <c r="F8" s="8"/>
      <c r="G8" s="9"/>
      <c r="H8" s="9"/>
      <c r="I8" s="9"/>
      <c r="J8" s="10"/>
      <c r="K8" s="10"/>
      <c r="L8" s="10"/>
    </row>
    <row r="10" customFormat="false" ht="21.75" hidden="false" customHeight="true" outlineLevel="0" collapsed="false">
      <c r="A10" s="11" t="s">
        <v>6</v>
      </c>
      <c r="B10" s="11"/>
      <c r="C10" s="11"/>
      <c r="D10" s="11"/>
      <c r="E10" s="11"/>
      <c r="G10" s="12" t="s">
        <v>7</v>
      </c>
      <c r="H10" s="12"/>
      <c r="I10" s="12"/>
      <c r="J10" s="12"/>
      <c r="K10" s="12"/>
      <c r="L10" s="12"/>
    </row>
    <row r="11" customFormat="false" ht="19.5" hidden="false" customHeight="true" outlineLevel="0" collapsed="false">
      <c r="A11" s="13" t="s">
        <v>8</v>
      </c>
      <c r="B11" s="13" t="s">
        <v>9</v>
      </c>
      <c r="C11" s="13" t="s">
        <v>10</v>
      </c>
      <c r="D11" s="13" t="s">
        <v>11</v>
      </c>
      <c r="E11" s="13" t="s">
        <v>12</v>
      </c>
      <c r="G11" s="13" t="s">
        <v>13</v>
      </c>
      <c r="H11" s="13" t="s">
        <v>14</v>
      </c>
      <c r="I11" s="13" t="s">
        <v>15</v>
      </c>
      <c r="J11" s="14"/>
      <c r="K11" s="14"/>
      <c r="L11" s="14"/>
    </row>
    <row r="12" customFormat="false" ht="15" hidden="false" customHeight="false" outlineLevel="0" collapsed="false">
      <c r="A12" s="15" t="s">
        <v>16</v>
      </c>
      <c r="B12" s="16" t="n">
        <f aca="false">Budget_vs_Actual!B5</f>
        <v>45000000</v>
      </c>
      <c r="C12" s="16" t="n">
        <f aca="false">Budget_vs_Actual!G5</f>
        <v>38869485</v>
      </c>
      <c r="D12" s="16" t="n">
        <f aca="false">Budget_vs_Actual!H5</f>
        <v>-6130515</v>
      </c>
      <c r="E12" s="17" t="str">
        <f aca="false">Budget_vs_Actual!J5</f>
        <v>❌ Over Budget</v>
      </c>
      <c r="G12" s="15" t="str">
        <f aca="false">IFERROR(INDEX(Category_Analysis!$A$4:$A$13,MATCH(LARGE(Category_Analysis!$B$4:$B$13,1),Category_Analysis!$B$4:$B$13,0)),"N/A")</f>
        <v>Training</v>
      </c>
      <c r="H12" s="16" t="n">
        <f aca="false">IFERROR(LARGE(Category_Analysis!$B$4:$B$13,1),0)</f>
        <v>48612970.22</v>
      </c>
      <c r="I12" s="18" t="n">
        <f aca="false">IFERROR(H12/SUM(Category_Analysis!$B$4:$B$13),0)</f>
        <v>0.171351678320015</v>
      </c>
      <c r="J12" s="19"/>
      <c r="K12" s="19"/>
      <c r="L12" s="19"/>
    </row>
    <row r="13" customFormat="false" ht="15" hidden="false" customHeight="false" outlineLevel="0" collapsed="false">
      <c r="A13" s="20" t="s">
        <v>17</v>
      </c>
      <c r="B13" s="21" t="n">
        <f aca="false">Budget_vs_Actual!B6</f>
        <v>38000000</v>
      </c>
      <c r="C13" s="21" t="n">
        <f aca="false">Budget_vs_Actual!G6</f>
        <v>34049545</v>
      </c>
      <c r="D13" s="21" t="n">
        <f aca="false">Budget_vs_Actual!H6</f>
        <v>-3950455</v>
      </c>
      <c r="E13" s="22" t="str">
        <f aca="false">Budget_vs_Actual!J6</f>
        <v>❌ Over Budget</v>
      </c>
      <c r="G13" s="20" t="str">
        <f aca="false">IFERROR(INDEX(Category_Analysis!$A$4:$A$13,MATCH(LARGE(Category_Analysis!$B$4:$B$13,2),Category_Analysis!$B$4:$B$13,0)),"N/A")</f>
        <v>Equipment</v>
      </c>
      <c r="H13" s="21" t="n">
        <f aca="false">IFERROR(LARGE(Category_Analysis!$B$4:$B$13,2),0)</f>
        <v>45536559.72</v>
      </c>
      <c r="I13" s="23" t="n">
        <f aca="false">IFERROR(H13/SUM(Category_Analysis!$B$4:$B$13),0)</f>
        <v>0.160507903500441</v>
      </c>
      <c r="J13" s="24"/>
      <c r="K13" s="24"/>
      <c r="L13" s="24"/>
    </row>
    <row r="14" customFormat="false" ht="15" hidden="false" customHeight="false" outlineLevel="0" collapsed="false">
      <c r="A14" s="15" t="s">
        <v>18</v>
      </c>
      <c r="B14" s="16" t="n">
        <f aca="false">Budget_vs_Actual!B7</f>
        <v>22000000</v>
      </c>
      <c r="C14" s="16" t="n">
        <f aca="false">Budget_vs_Actual!G7</f>
        <v>17507714</v>
      </c>
      <c r="D14" s="16" t="n">
        <f aca="false">Budget_vs_Actual!H7</f>
        <v>-4492286</v>
      </c>
      <c r="E14" s="17" t="str">
        <f aca="false">Budget_vs_Actual!J7</f>
        <v>❌ Over Budget</v>
      </c>
      <c r="G14" s="15" t="str">
        <f aca="false">IFERROR(INDEX(Category_Analysis!$A$4:$A$13,MATCH(LARGE(Category_Analysis!$B$4:$B$13,3),Category_Analysis!$B$4:$B$13,0)),"N/A")</f>
        <v>Software Licenses</v>
      </c>
      <c r="H14" s="16" t="n">
        <f aca="false">IFERROR(LARGE(Category_Analysis!$B$4:$B$13,3),0)</f>
        <v>42970527.56</v>
      </c>
      <c r="I14" s="18" t="n">
        <f aca="false">IFERROR(H14/SUM(Category_Analysis!$B$4:$B$13),0)</f>
        <v>0.151463117402219</v>
      </c>
      <c r="J14" s="19"/>
      <c r="K14" s="19"/>
      <c r="L14" s="19"/>
    </row>
    <row r="15" customFormat="false" ht="15" hidden="false" customHeight="false" outlineLevel="0" collapsed="false">
      <c r="A15" s="20" t="s">
        <v>19</v>
      </c>
      <c r="B15" s="21" t="n">
        <f aca="false">Budget_vs_Actual!B8</f>
        <v>18500000</v>
      </c>
      <c r="C15" s="21" t="n">
        <f aca="false">Budget_vs_Actual!G8</f>
        <v>16868476</v>
      </c>
      <c r="D15" s="21" t="n">
        <f aca="false">Budget_vs_Actual!H8</f>
        <v>-1631524</v>
      </c>
      <c r="E15" s="22" t="str">
        <f aca="false">Budget_vs_Actual!J8</f>
        <v>⚠️ Near Limit</v>
      </c>
    </row>
    <row r="16" customFormat="false" ht="15" hidden="false" customHeight="false" outlineLevel="0" collapsed="false">
      <c r="A16" s="15" t="s">
        <v>20</v>
      </c>
      <c r="B16" s="16" t="n">
        <f aca="false">Budget_vs_Actual!B9</f>
        <v>15000000</v>
      </c>
      <c r="C16" s="16" t="n">
        <f aca="false">Budget_vs_Actual!G9</f>
        <v>15388066</v>
      </c>
      <c r="D16" s="16" t="n">
        <f aca="false">Budget_vs_Actual!H9</f>
        <v>388066</v>
      </c>
      <c r="E16" s="17" t="str">
        <f aca="false">Budget_vs_Actual!J9</f>
        <v>✅ Under Budget</v>
      </c>
    </row>
    <row r="17" customFormat="false" ht="15" hidden="false" customHeight="false" outlineLevel="0" collapsed="false">
      <c r="A17" s="20" t="s">
        <v>21</v>
      </c>
      <c r="B17" s="21" t="n">
        <f aca="false">Budget_vs_Actual!B10</f>
        <v>25000000</v>
      </c>
      <c r="C17" s="21" t="n">
        <f aca="false">Budget_vs_Actual!G10</f>
        <v>24512746</v>
      </c>
      <c r="D17" s="21" t="n">
        <f aca="false">Budget_vs_Actual!H10</f>
        <v>-487254</v>
      </c>
      <c r="E17" s="22" t="str">
        <f aca="false">Budget_vs_Actual!J10</f>
        <v>⚠️ Near Limit</v>
      </c>
    </row>
    <row r="18" customFormat="false" ht="15" hidden="false" customHeight="false" outlineLevel="0" collapsed="false">
      <c r="A18" s="13" t="s">
        <v>22</v>
      </c>
      <c r="B18" s="25" t="n">
        <f aca="false">SUM(Budget_vs_Actual!B5:B10)</f>
        <v>163500000</v>
      </c>
      <c r="C18" s="25" t="n">
        <f aca="false">SUM(Budget_vs_Actual!G5:G10)</f>
        <v>147196032</v>
      </c>
      <c r="D18" s="25" t="n">
        <f aca="false">SUM(Budget_vs_Actual!H5:H10)</f>
        <v>-16303968</v>
      </c>
      <c r="E18" s="26"/>
    </row>
    <row r="20" customFormat="false" ht="21.75" hidden="false" customHeight="true" outlineLevel="0" collapsed="false">
      <c r="A20" s="27" t="s">
        <v>23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</row>
    <row r="21" customFormat="false" ht="45" hidden="false" customHeight="true" outlineLevel="0" collapsed="false">
      <c r="A21" s="28" t="s">
        <v>24</v>
      </c>
      <c r="B21" s="28"/>
      <c r="C21" s="28"/>
      <c r="D21" s="28"/>
      <c r="E21" s="28"/>
      <c r="F21" s="28"/>
      <c r="G21" s="29" t="s">
        <v>25</v>
      </c>
      <c r="H21" s="29"/>
      <c r="I21" s="29"/>
      <c r="J21" s="29"/>
      <c r="K21" s="29"/>
      <c r="L21" s="29"/>
    </row>
    <row r="22" customFormat="false" ht="15" hidden="false" customHeight="false" outlineLevel="0" collapsed="false">
      <c r="A22" s="28"/>
      <c r="B22" s="28"/>
      <c r="C22" s="28"/>
      <c r="D22" s="28"/>
      <c r="E22" s="28"/>
      <c r="F22" s="28"/>
      <c r="G22" s="29"/>
      <c r="H22" s="29"/>
      <c r="I22" s="29"/>
      <c r="J22" s="29"/>
      <c r="K22" s="29"/>
      <c r="L22" s="29"/>
    </row>
    <row r="23" customFormat="false" ht="15" hidden="false" customHeight="false" outlineLevel="0" collapsed="false">
      <c r="A23" s="28"/>
      <c r="B23" s="28"/>
      <c r="C23" s="28"/>
      <c r="D23" s="28"/>
      <c r="E23" s="28"/>
      <c r="F23" s="28"/>
      <c r="G23" s="29"/>
      <c r="H23" s="29"/>
      <c r="I23" s="29"/>
      <c r="J23" s="29"/>
      <c r="K23" s="29"/>
      <c r="L23" s="29"/>
    </row>
  </sheetData>
  <mergeCells count="15">
    <mergeCell ref="A1:L2"/>
    <mergeCell ref="A3:L3"/>
    <mergeCell ref="A5:C6"/>
    <mergeCell ref="D5:F6"/>
    <mergeCell ref="G5:I6"/>
    <mergeCell ref="J5:L6"/>
    <mergeCell ref="A7:C8"/>
    <mergeCell ref="D7:F8"/>
    <mergeCell ref="G7:I8"/>
    <mergeCell ref="J7:L8"/>
    <mergeCell ref="A10:E10"/>
    <mergeCell ref="G10:L10"/>
    <mergeCell ref="A20:L20"/>
    <mergeCell ref="A21:F23"/>
    <mergeCell ref="G21:L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8"/>
  </cols>
  <sheetData>
    <row r="1" customFormat="false" ht="19.5" hidden="false" customHeight="true" outlineLevel="0" collapsed="false">
      <c r="A1" s="30" t="s">
        <v>26</v>
      </c>
      <c r="B1" s="30" t="s">
        <v>27</v>
      </c>
      <c r="C1" s="30" t="s">
        <v>8</v>
      </c>
      <c r="D1" s="30" t="s">
        <v>13</v>
      </c>
      <c r="E1" s="30" t="s">
        <v>28</v>
      </c>
      <c r="F1" s="30" t="s">
        <v>29</v>
      </c>
      <c r="G1" s="30" t="s">
        <v>30</v>
      </c>
      <c r="H1" s="30" t="s">
        <v>12</v>
      </c>
      <c r="I1" s="30" t="s">
        <v>31</v>
      </c>
    </row>
    <row r="2" customFormat="false" ht="15" hidden="false" customHeight="false" outlineLevel="0" collapsed="false">
      <c r="A2" s="19" t="s">
        <v>32</v>
      </c>
      <c r="B2" s="19" t="s">
        <v>33</v>
      </c>
      <c r="C2" s="31" t="s">
        <v>17</v>
      </c>
      <c r="D2" s="31" t="s">
        <v>34</v>
      </c>
      <c r="E2" s="31" t="s">
        <v>35</v>
      </c>
      <c r="F2" s="32" t="n">
        <v>1248506.49</v>
      </c>
      <c r="G2" s="19" t="s">
        <v>36</v>
      </c>
      <c r="H2" s="19" t="s">
        <v>37</v>
      </c>
      <c r="I2" s="31"/>
    </row>
    <row r="3" customFormat="false" ht="15" hidden="false" customHeight="false" outlineLevel="0" collapsed="false">
      <c r="A3" s="33" t="s">
        <v>38</v>
      </c>
      <c r="B3" s="33" t="s">
        <v>39</v>
      </c>
      <c r="C3" s="34" t="s">
        <v>16</v>
      </c>
      <c r="D3" s="34" t="s">
        <v>34</v>
      </c>
      <c r="E3" s="34" t="s">
        <v>40</v>
      </c>
      <c r="F3" s="35" t="n">
        <v>995591.32</v>
      </c>
      <c r="G3" s="33" t="s">
        <v>36</v>
      </c>
      <c r="H3" s="33" t="s">
        <v>41</v>
      </c>
      <c r="I3" s="34"/>
    </row>
    <row r="4" customFormat="false" ht="15" hidden="false" customHeight="false" outlineLevel="0" collapsed="false">
      <c r="A4" s="19" t="s">
        <v>42</v>
      </c>
      <c r="B4" s="19" t="s">
        <v>43</v>
      </c>
      <c r="C4" s="31" t="s">
        <v>18</v>
      </c>
      <c r="D4" s="31" t="s">
        <v>44</v>
      </c>
      <c r="E4" s="31" t="s">
        <v>45</v>
      </c>
      <c r="F4" s="32" t="n">
        <v>2029702.57</v>
      </c>
      <c r="G4" s="19" t="s">
        <v>36</v>
      </c>
      <c r="H4" s="19" t="s">
        <v>37</v>
      </c>
      <c r="I4" s="31"/>
    </row>
    <row r="5" customFormat="false" ht="15" hidden="false" customHeight="false" outlineLevel="0" collapsed="false">
      <c r="A5" s="33" t="s">
        <v>46</v>
      </c>
      <c r="B5" s="33" t="s">
        <v>47</v>
      </c>
      <c r="C5" s="34" t="s">
        <v>21</v>
      </c>
      <c r="D5" s="34" t="s">
        <v>48</v>
      </c>
      <c r="E5" s="34" t="s">
        <v>49</v>
      </c>
      <c r="F5" s="35" t="n">
        <v>980682.22</v>
      </c>
      <c r="G5" s="33" t="s">
        <v>36</v>
      </c>
      <c r="H5" s="33" t="s">
        <v>50</v>
      </c>
      <c r="I5" s="34" t="s">
        <v>51</v>
      </c>
    </row>
    <row r="6" customFormat="false" ht="15" hidden="false" customHeight="false" outlineLevel="0" collapsed="false">
      <c r="A6" s="19" t="s">
        <v>52</v>
      </c>
      <c r="B6" s="19" t="s">
        <v>53</v>
      </c>
      <c r="C6" s="31" t="s">
        <v>20</v>
      </c>
      <c r="D6" s="31" t="s">
        <v>48</v>
      </c>
      <c r="E6" s="31" t="s">
        <v>49</v>
      </c>
      <c r="F6" s="32" t="n">
        <v>3287847.06</v>
      </c>
      <c r="G6" s="19" t="s">
        <v>54</v>
      </c>
      <c r="H6" s="19" t="s">
        <v>37</v>
      </c>
      <c r="I6" s="31"/>
    </row>
    <row r="7" customFormat="false" ht="15" hidden="false" customHeight="false" outlineLevel="0" collapsed="false">
      <c r="A7" s="33" t="s">
        <v>55</v>
      </c>
      <c r="B7" s="33" t="s">
        <v>56</v>
      </c>
      <c r="C7" s="34" t="s">
        <v>20</v>
      </c>
      <c r="D7" s="34" t="s">
        <v>21</v>
      </c>
      <c r="E7" s="34" t="s">
        <v>57</v>
      </c>
      <c r="F7" s="35" t="n">
        <v>877414.33</v>
      </c>
      <c r="G7" s="33" t="s">
        <v>58</v>
      </c>
      <c r="H7" s="33" t="s">
        <v>59</v>
      </c>
      <c r="I7" s="34"/>
    </row>
    <row r="8" customFormat="false" ht="15" hidden="false" customHeight="false" outlineLevel="0" collapsed="false">
      <c r="A8" s="19" t="s">
        <v>60</v>
      </c>
      <c r="B8" s="19" t="s">
        <v>61</v>
      </c>
      <c r="C8" s="31" t="s">
        <v>19</v>
      </c>
      <c r="D8" s="31" t="s">
        <v>62</v>
      </c>
      <c r="E8" s="31" t="s">
        <v>63</v>
      </c>
      <c r="F8" s="32" t="n">
        <v>1261711.61</v>
      </c>
      <c r="G8" s="19" t="s">
        <v>64</v>
      </c>
      <c r="H8" s="19" t="s">
        <v>37</v>
      </c>
      <c r="I8" s="31"/>
    </row>
    <row r="9" customFormat="false" ht="15" hidden="false" customHeight="false" outlineLevel="0" collapsed="false">
      <c r="A9" s="33" t="s">
        <v>65</v>
      </c>
      <c r="B9" s="33" t="s">
        <v>66</v>
      </c>
      <c r="C9" s="34" t="s">
        <v>19</v>
      </c>
      <c r="D9" s="34" t="s">
        <v>48</v>
      </c>
      <c r="E9" s="34" t="s">
        <v>67</v>
      </c>
      <c r="F9" s="35" t="n">
        <v>4215895.83</v>
      </c>
      <c r="G9" s="33" t="s">
        <v>68</v>
      </c>
      <c r="H9" s="33" t="s">
        <v>37</v>
      </c>
      <c r="I9" s="34"/>
    </row>
    <row r="10" customFormat="false" ht="15" hidden="false" customHeight="false" outlineLevel="0" collapsed="false">
      <c r="A10" s="19" t="s">
        <v>69</v>
      </c>
      <c r="B10" s="19" t="s">
        <v>70</v>
      </c>
      <c r="C10" s="31" t="s">
        <v>19</v>
      </c>
      <c r="D10" s="31" t="s">
        <v>71</v>
      </c>
      <c r="E10" s="31" t="s">
        <v>72</v>
      </c>
      <c r="F10" s="32" t="n">
        <v>1716857.66</v>
      </c>
      <c r="G10" s="19" t="s">
        <v>68</v>
      </c>
      <c r="H10" s="19" t="s">
        <v>41</v>
      </c>
      <c r="I10" s="31"/>
    </row>
    <row r="11" customFormat="false" ht="15" hidden="false" customHeight="false" outlineLevel="0" collapsed="false">
      <c r="A11" s="33" t="s">
        <v>73</v>
      </c>
      <c r="B11" s="33" t="s">
        <v>74</v>
      </c>
      <c r="C11" s="34" t="s">
        <v>16</v>
      </c>
      <c r="D11" s="34" t="s">
        <v>75</v>
      </c>
      <c r="E11" s="34" t="s">
        <v>76</v>
      </c>
      <c r="F11" s="35" t="n">
        <v>3625630.42</v>
      </c>
      <c r="G11" s="33" t="s">
        <v>36</v>
      </c>
      <c r="H11" s="33" t="s">
        <v>41</v>
      </c>
      <c r="I11" s="34"/>
    </row>
    <row r="12" customFormat="false" ht="15" hidden="false" customHeight="false" outlineLevel="0" collapsed="false">
      <c r="A12" s="19" t="s">
        <v>77</v>
      </c>
      <c r="B12" s="19" t="s">
        <v>78</v>
      </c>
      <c r="C12" s="31" t="s">
        <v>20</v>
      </c>
      <c r="D12" s="31" t="s">
        <v>21</v>
      </c>
      <c r="E12" s="31" t="s">
        <v>79</v>
      </c>
      <c r="F12" s="32" t="n">
        <v>2954642.41</v>
      </c>
      <c r="G12" s="19" t="s">
        <v>54</v>
      </c>
      <c r="H12" s="19" t="s">
        <v>37</v>
      </c>
      <c r="I12" s="31" t="s">
        <v>80</v>
      </c>
    </row>
    <row r="13" customFormat="false" ht="15" hidden="false" customHeight="false" outlineLevel="0" collapsed="false">
      <c r="A13" s="33" t="s">
        <v>81</v>
      </c>
      <c r="B13" s="33" t="s">
        <v>82</v>
      </c>
      <c r="C13" s="34" t="s">
        <v>18</v>
      </c>
      <c r="D13" s="34" t="s">
        <v>83</v>
      </c>
      <c r="E13" s="34" t="s">
        <v>84</v>
      </c>
      <c r="F13" s="35" t="n">
        <v>3365356.95</v>
      </c>
      <c r="G13" s="33" t="s">
        <v>54</v>
      </c>
      <c r="H13" s="33" t="s">
        <v>37</v>
      </c>
      <c r="I13" s="34" t="s">
        <v>80</v>
      </c>
    </row>
    <row r="14" customFormat="false" ht="15" hidden="false" customHeight="false" outlineLevel="0" collapsed="false">
      <c r="A14" s="19" t="s">
        <v>85</v>
      </c>
      <c r="B14" s="19" t="s">
        <v>86</v>
      </c>
      <c r="C14" s="31" t="s">
        <v>18</v>
      </c>
      <c r="D14" s="31" t="s">
        <v>87</v>
      </c>
      <c r="E14" s="31" t="s">
        <v>88</v>
      </c>
      <c r="F14" s="32" t="n">
        <v>3404682.98</v>
      </c>
      <c r="G14" s="19" t="s">
        <v>58</v>
      </c>
      <c r="H14" s="19" t="s">
        <v>50</v>
      </c>
      <c r="I14" s="31"/>
    </row>
    <row r="15" customFormat="false" ht="15" hidden="false" customHeight="false" outlineLevel="0" collapsed="false">
      <c r="A15" s="33" t="s">
        <v>89</v>
      </c>
      <c r="B15" s="33" t="s">
        <v>90</v>
      </c>
      <c r="C15" s="34" t="s">
        <v>91</v>
      </c>
      <c r="D15" s="34" t="s">
        <v>44</v>
      </c>
      <c r="E15" s="34" t="s">
        <v>92</v>
      </c>
      <c r="F15" s="35" t="n">
        <v>4482604.39</v>
      </c>
      <c r="G15" s="33" t="s">
        <v>68</v>
      </c>
      <c r="H15" s="33" t="s">
        <v>37</v>
      </c>
      <c r="I15" s="34"/>
    </row>
    <row r="16" customFormat="false" ht="15" hidden="false" customHeight="false" outlineLevel="0" collapsed="false">
      <c r="A16" s="19" t="s">
        <v>93</v>
      </c>
      <c r="B16" s="19" t="s">
        <v>47</v>
      </c>
      <c r="C16" s="31" t="s">
        <v>17</v>
      </c>
      <c r="D16" s="31" t="s">
        <v>83</v>
      </c>
      <c r="E16" s="31" t="s">
        <v>84</v>
      </c>
      <c r="F16" s="32" t="n">
        <v>3462165.32</v>
      </c>
      <c r="G16" s="19" t="s">
        <v>64</v>
      </c>
      <c r="H16" s="19" t="s">
        <v>50</v>
      </c>
      <c r="I16" s="31" t="s">
        <v>94</v>
      </c>
    </row>
    <row r="17" customFormat="false" ht="15" hidden="false" customHeight="false" outlineLevel="0" collapsed="false">
      <c r="A17" s="33" t="s">
        <v>95</v>
      </c>
      <c r="B17" s="33" t="s">
        <v>96</v>
      </c>
      <c r="C17" s="34" t="s">
        <v>20</v>
      </c>
      <c r="D17" s="34" t="s">
        <v>83</v>
      </c>
      <c r="E17" s="34" t="s">
        <v>97</v>
      </c>
      <c r="F17" s="35" t="n">
        <v>2291952.31</v>
      </c>
      <c r="G17" s="33" t="s">
        <v>64</v>
      </c>
      <c r="H17" s="33" t="s">
        <v>41</v>
      </c>
      <c r="I17" s="34" t="s">
        <v>80</v>
      </c>
    </row>
    <row r="18" customFormat="false" ht="15" hidden="false" customHeight="false" outlineLevel="0" collapsed="false">
      <c r="A18" s="19" t="s">
        <v>98</v>
      </c>
      <c r="B18" s="19" t="s">
        <v>99</v>
      </c>
      <c r="C18" s="31" t="s">
        <v>18</v>
      </c>
      <c r="D18" s="31" t="s">
        <v>83</v>
      </c>
      <c r="E18" s="31" t="s">
        <v>97</v>
      </c>
      <c r="F18" s="32" t="n">
        <v>2701266.46</v>
      </c>
      <c r="G18" s="19" t="s">
        <v>36</v>
      </c>
      <c r="H18" s="19" t="s">
        <v>37</v>
      </c>
      <c r="I18" s="31"/>
    </row>
    <row r="19" customFormat="false" ht="15" hidden="false" customHeight="false" outlineLevel="0" collapsed="false">
      <c r="A19" s="33" t="s">
        <v>100</v>
      </c>
      <c r="B19" s="33" t="s">
        <v>101</v>
      </c>
      <c r="C19" s="34" t="s">
        <v>20</v>
      </c>
      <c r="D19" s="34" t="s">
        <v>75</v>
      </c>
      <c r="E19" s="34" t="s">
        <v>76</v>
      </c>
      <c r="F19" s="35" t="n">
        <v>1095309.09</v>
      </c>
      <c r="G19" s="33" t="s">
        <v>36</v>
      </c>
      <c r="H19" s="33" t="s">
        <v>102</v>
      </c>
      <c r="I19" s="34"/>
    </row>
    <row r="20" customFormat="false" ht="15" hidden="false" customHeight="false" outlineLevel="0" collapsed="false">
      <c r="A20" s="19" t="s">
        <v>103</v>
      </c>
      <c r="B20" s="19" t="s">
        <v>104</v>
      </c>
      <c r="C20" s="31" t="s">
        <v>18</v>
      </c>
      <c r="D20" s="31" t="s">
        <v>71</v>
      </c>
      <c r="E20" s="31" t="s">
        <v>105</v>
      </c>
      <c r="F20" s="32" t="n">
        <v>2973982.44</v>
      </c>
      <c r="G20" s="19" t="s">
        <v>64</v>
      </c>
      <c r="H20" s="19" t="s">
        <v>50</v>
      </c>
      <c r="I20" s="31"/>
    </row>
    <row r="21" customFormat="false" ht="15" hidden="false" customHeight="false" outlineLevel="0" collapsed="false">
      <c r="A21" s="33" t="s">
        <v>106</v>
      </c>
      <c r="B21" s="33" t="s">
        <v>107</v>
      </c>
      <c r="C21" s="34" t="s">
        <v>18</v>
      </c>
      <c r="D21" s="34" t="s">
        <v>75</v>
      </c>
      <c r="E21" s="34" t="s">
        <v>108</v>
      </c>
      <c r="F21" s="35" t="n">
        <v>1413047.57</v>
      </c>
      <c r="G21" s="33" t="s">
        <v>64</v>
      </c>
      <c r="H21" s="33" t="s">
        <v>102</v>
      </c>
      <c r="I21" s="34"/>
    </row>
    <row r="22" customFormat="false" ht="15" hidden="false" customHeight="false" outlineLevel="0" collapsed="false">
      <c r="A22" s="19" t="s">
        <v>109</v>
      </c>
      <c r="B22" s="19" t="s">
        <v>110</v>
      </c>
      <c r="C22" s="31" t="s">
        <v>111</v>
      </c>
      <c r="D22" s="31" t="s">
        <v>62</v>
      </c>
      <c r="E22" s="31" t="s">
        <v>112</v>
      </c>
      <c r="F22" s="32" t="n">
        <v>1022767.56</v>
      </c>
      <c r="G22" s="19" t="s">
        <v>68</v>
      </c>
      <c r="H22" s="19" t="s">
        <v>41</v>
      </c>
      <c r="I22" s="31"/>
    </row>
    <row r="23" customFormat="false" ht="15" hidden="false" customHeight="false" outlineLevel="0" collapsed="false">
      <c r="A23" s="33" t="s">
        <v>113</v>
      </c>
      <c r="B23" s="33" t="s">
        <v>114</v>
      </c>
      <c r="C23" s="34" t="s">
        <v>16</v>
      </c>
      <c r="D23" s="34" t="s">
        <v>62</v>
      </c>
      <c r="E23" s="34" t="s">
        <v>115</v>
      </c>
      <c r="F23" s="35" t="n">
        <v>2845496.76</v>
      </c>
      <c r="G23" s="33" t="s">
        <v>36</v>
      </c>
      <c r="H23" s="33" t="s">
        <v>37</v>
      </c>
      <c r="I23" s="34" t="s">
        <v>80</v>
      </c>
    </row>
    <row r="24" customFormat="false" ht="15" hidden="false" customHeight="false" outlineLevel="0" collapsed="false">
      <c r="A24" s="19" t="s">
        <v>116</v>
      </c>
      <c r="B24" s="19" t="s">
        <v>117</v>
      </c>
      <c r="C24" s="31" t="s">
        <v>20</v>
      </c>
      <c r="D24" s="31" t="s">
        <v>87</v>
      </c>
      <c r="E24" s="31" t="s">
        <v>88</v>
      </c>
      <c r="F24" s="32" t="n">
        <v>2433464.18</v>
      </c>
      <c r="G24" s="19" t="s">
        <v>68</v>
      </c>
      <c r="H24" s="19" t="s">
        <v>102</v>
      </c>
      <c r="I24" s="31" t="s">
        <v>118</v>
      </c>
    </row>
    <row r="25" customFormat="false" ht="15" hidden="false" customHeight="false" outlineLevel="0" collapsed="false">
      <c r="A25" s="33" t="s">
        <v>119</v>
      </c>
      <c r="B25" s="33" t="s">
        <v>120</v>
      </c>
      <c r="C25" s="34" t="s">
        <v>91</v>
      </c>
      <c r="D25" s="34" t="s">
        <v>75</v>
      </c>
      <c r="E25" s="34" t="s">
        <v>76</v>
      </c>
      <c r="F25" s="35" t="n">
        <v>449734.7</v>
      </c>
      <c r="G25" s="33" t="s">
        <v>54</v>
      </c>
      <c r="H25" s="33" t="s">
        <v>50</v>
      </c>
      <c r="I25" s="34"/>
    </row>
    <row r="26" customFormat="false" ht="15" hidden="false" customHeight="false" outlineLevel="0" collapsed="false">
      <c r="A26" s="19" t="s">
        <v>121</v>
      </c>
      <c r="B26" s="19" t="s">
        <v>122</v>
      </c>
      <c r="C26" s="31" t="s">
        <v>16</v>
      </c>
      <c r="D26" s="31" t="s">
        <v>62</v>
      </c>
      <c r="E26" s="31" t="s">
        <v>112</v>
      </c>
      <c r="F26" s="32" t="n">
        <v>1820756.45</v>
      </c>
      <c r="G26" s="19" t="s">
        <v>36</v>
      </c>
      <c r="H26" s="19" t="s">
        <v>41</v>
      </c>
      <c r="I26" s="31" t="s">
        <v>118</v>
      </c>
    </row>
    <row r="27" customFormat="false" ht="15" hidden="false" customHeight="false" outlineLevel="0" collapsed="false">
      <c r="A27" s="33" t="s">
        <v>123</v>
      </c>
      <c r="B27" s="33" t="s">
        <v>124</v>
      </c>
      <c r="C27" s="34" t="s">
        <v>18</v>
      </c>
      <c r="D27" s="34" t="s">
        <v>44</v>
      </c>
      <c r="E27" s="34" t="s">
        <v>45</v>
      </c>
      <c r="F27" s="35" t="n">
        <v>1264274.97</v>
      </c>
      <c r="G27" s="33" t="s">
        <v>36</v>
      </c>
      <c r="H27" s="33" t="s">
        <v>102</v>
      </c>
      <c r="I27" s="34"/>
    </row>
    <row r="28" customFormat="false" ht="15" hidden="false" customHeight="false" outlineLevel="0" collapsed="false">
      <c r="A28" s="19" t="s">
        <v>125</v>
      </c>
      <c r="B28" s="19" t="s">
        <v>126</v>
      </c>
      <c r="C28" s="31" t="s">
        <v>18</v>
      </c>
      <c r="D28" s="31" t="s">
        <v>62</v>
      </c>
      <c r="E28" s="31" t="s">
        <v>112</v>
      </c>
      <c r="F28" s="32" t="n">
        <v>2939869.85</v>
      </c>
      <c r="G28" s="19" t="s">
        <v>36</v>
      </c>
      <c r="H28" s="19" t="s">
        <v>37</v>
      </c>
      <c r="I28" s="31"/>
    </row>
    <row r="29" customFormat="false" ht="15" hidden="false" customHeight="false" outlineLevel="0" collapsed="false">
      <c r="A29" s="33" t="s">
        <v>127</v>
      </c>
      <c r="B29" s="33" t="s">
        <v>124</v>
      </c>
      <c r="C29" s="34" t="s">
        <v>19</v>
      </c>
      <c r="D29" s="34" t="s">
        <v>71</v>
      </c>
      <c r="E29" s="34" t="s">
        <v>72</v>
      </c>
      <c r="F29" s="35" t="n">
        <v>2193100.45</v>
      </c>
      <c r="G29" s="33" t="s">
        <v>54</v>
      </c>
      <c r="H29" s="33" t="s">
        <v>37</v>
      </c>
      <c r="I29" s="34" t="s">
        <v>94</v>
      </c>
    </row>
    <row r="30" customFormat="false" ht="15" hidden="false" customHeight="false" outlineLevel="0" collapsed="false">
      <c r="A30" s="19" t="s">
        <v>128</v>
      </c>
      <c r="B30" s="19" t="s">
        <v>129</v>
      </c>
      <c r="C30" s="31" t="s">
        <v>91</v>
      </c>
      <c r="D30" s="31" t="s">
        <v>48</v>
      </c>
      <c r="E30" s="31" t="s">
        <v>130</v>
      </c>
      <c r="F30" s="32" t="n">
        <v>1294342.79</v>
      </c>
      <c r="G30" s="19" t="s">
        <v>68</v>
      </c>
      <c r="H30" s="19" t="s">
        <v>102</v>
      </c>
      <c r="I30" s="31" t="s">
        <v>51</v>
      </c>
    </row>
    <row r="31" customFormat="false" ht="15" hidden="false" customHeight="false" outlineLevel="0" collapsed="false">
      <c r="A31" s="33" t="s">
        <v>131</v>
      </c>
      <c r="B31" s="33" t="s">
        <v>132</v>
      </c>
      <c r="C31" s="34" t="s">
        <v>19</v>
      </c>
      <c r="D31" s="34" t="s">
        <v>34</v>
      </c>
      <c r="E31" s="34" t="s">
        <v>35</v>
      </c>
      <c r="F31" s="35" t="n">
        <v>3314781.25</v>
      </c>
      <c r="G31" s="33" t="s">
        <v>64</v>
      </c>
      <c r="H31" s="33" t="s">
        <v>37</v>
      </c>
      <c r="I31" s="34" t="s">
        <v>118</v>
      </c>
    </row>
    <row r="32" customFormat="false" ht="15" hidden="false" customHeight="false" outlineLevel="0" collapsed="false">
      <c r="A32" s="19" t="s">
        <v>133</v>
      </c>
      <c r="B32" s="19" t="s">
        <v>134</v>
      </c>
      <c r="C32" s="31" t="s">
        <v>18</v>
      </c>
      <c r="D32" s="31" t="s">
        <v>83</v>
      </c>
      <c r="E32" s="31" t="s">
        <v>97</v>
      </c>
      <c r="F32" s="32" t="n">
        <v>270104.92</v>
      </c>
      <c r="G32" s="19" t="s">
        <v>58</v>
      </c>
      <c r="H32" s="19" t="s">
        <v>37</v>
      </c>
      <c r="I32" s="31"/>
    </row>
    <row r="33" customFormat="false" ht="15" hidden="false" customHeight="false" outlineLevel="0" collapsed="false">
      <c r="A33" s="33" t="s">
        <v>135</v>
      </c>
      <c r="B33" s="33" t="s">
        <v>136</v>
      </c>
      <c r="C33" s="34" t="s">
        <v>19</v>
      </c>
      <c r="D33" s="34" t="s">
        <v>44</v>
      </c>
      <c r="E33" s="34" t="s">
        <v>45</v>
      </c>
      <c r="F33" s="35" t="n">
        <v>4238058.63</v>
      </c>
      <c r="G33" s="33" t="s">
        <v>68</v>
      </c>
      <c r="H33" s="33" t="s">
        <v>37</v>
      </c>
      <c r="I33" s="34"/>
    </row>
    <row r="34" customFormat="false" ht="15" hidden="false" customHeight="false" outlineLevel="0" collapsed="false">
      <c r="A34" s="19" t="s">
        <v>137</v>
      </c>
      <c r="B34" s="19" t="s">
        <v>138</v>
      </c>
      <c r="C34" s="31" t="s">
        <v>91</v>
      </c>
      <c r="D34" s="31" t="s">
        <v>139</v>
      </c>
      <c r="E34" s="31" t="s">
        <v>140</v>
      </c>
      <c r="F34" s="32" t="n">
        <v>2359680.48</v>
      </c>
      <c r="G34" s="19" t="s">
        <v>64</v>
      </c>
      <c r="H34" s="19" t="s">
        <v>41</v>
      </c>
      <c r="I34" s="31" t="s">
        <v>80</v>
      </c>
    </row>
    <row r="35" customFormat="false" ht="15" hidden="false" customHeight="false" outlineLevel="0" collapsed="false">
      <c r="A35" s="33" t="s">
        <v>141</v>
      </c>
      <c r="B35" s="33" t="s">
        <v>142</v>
      </c>
      <c r="C35" s="34" t="s">
        <v>20</v>
      </c>
      <c r="D35" s="34" t="s">
        <v>87</v>
      </c>
      <c r="E35" s="34" t="s">
        <v>143</v>
      </c>
      <c r="F35" s="35" t="n">
        <v>4181647.22</v>
      </c>
      <c r="G35" s="33" t="s">
        <v>54</v>
      </c>
      <c r="H35" s="33" t="s">
        <v>37</v>
      </c>
      <c r="I35" s="34" t="s">
        <v>80</v>
      </c>
    </row>
    <row r="36" customFormat="false" ht="15" hidden="false" customHeight="false" outlineLevel="0" collapsed="false">
      <c r="A36" s="19" t="s">
        <v>144</v>
      </c>
      <c r="B36" s="19" t="s">
        <v>145</v>
      </c>
      <c r="C36" s="31" t="s">
        <v>18</v>
      </c>
      <c r="D36" s="31" t="s">
        <v>48</v>
      </c>
      <c r="E36" s="31" t="s">
        <v>49</v>
      </c>
      <c r="F36" s="32" t="n">
        <v>4200668.31</v>
      </c>
      <c r="G36" s="19" t="s">
        <v>64</v>
      </c>
      <c r="H36" s="19" t="s">
        <v>59</v>
      </c>
      <c r="I36" s="31" t="s">
        <v>51</v>
      </c>
    </row>
    <row r="37" customFormat="false" ht="15" hidden="false" customHeight="false" outlineLevel="0" collapsed="false">
      <c r="A37" s="33" t="s">
        <v>146</v>
      </c>
      <c r="B37" s="33" t="s">
        <v>147</v>
      </c>
      <c r="C37" s="34" t="s">
        <v>20</v>
      </c>
      <c r="D37" s="34" t="s">
        <v>83</v>
      </c>
      <c r="E37" s="34" t="s">
        <v>97</v>
      </c>
      <c r="F37" s="35" t="n">
        <v>3010366.47</v>
      </c>
      <c r="G37" s="33" t="s">
        <v>36</v>
      </c>
      <c r="H37" s="33" t="s">
        <v>37</v>
      </c>
      <c r="I37" s="34" t="s">
        <v>94</v>
      </c>
    </row>
    <row r="38" customFormat="false" ht="15" hidden="false" customHeight="false" outlineLevel="0" collapsed="false">
      <c r="A38" s="19" t="s">
        <v>148</v>
      </c>
      <c r="B38" s="19" t="s">
        <v>149</v>
      </c>
      <c r="C38" s="31" t="s">
        <v>18</v>
      </c>
      <c r="D38" s="31" t="s">
        <v>71</v>
      </c>
      <c r="E38" s="31" t="s">
        <v>72</v>
      </c>
      <c r="F38" s="32" t="n">
        <v>1278676.88</v>
      </c>
      <c r="G38" s="19" t="s">
        <v>64</v>
      </c>
      <c r="H38" s="19" t="s">
        <v>41</v>
      </c>
      <c r="I38" s="31"/>
    </row>
    <row r="39" customFormat="false" ht="15" hidden="false" customHeight="false" outlineLevel="0" collapsed="false">
      <c r="A39" s="33" t="s">
        <v>150</v>
      </c>
      <c r="B39" s="33" t="s">
        <v>151</v>
      </c>
      <c r="C39" s="34" t="s">
        <v>20</v>
      </c>
      <c r="D39" s="34" t="s">
        <v>83</v>
      </c>
      <c r="E39" s="34" t="s">
        <v>84</v>
      </c>
      <c r="F39" s="35" t="n">
        <v>1141278.82</v>
      </c>
      <c r="G39" s="33" t="s">
        <v>54</v>
      </c>
      <c r="H39" s="33" t="s">
        <v>59</v>
      </c>
      <c r="I39" s="34" t="s">
        <v>51</v>
      </c>
    </row>
    <row r="40" customFormat="false" ht="15" hidden="false" customHeight="false" outlineLevel="0" collapsed="false">
      <c r="A40" s="19" t="s">
        <v>152</v>
      </c>
      <c r="B40" s="19" t="s">
        <v>153</v>
      </c>
      <c r="C40" s="31" t="s">
        <v>18</v>
      </c>
      <c r="D40" s="31" t="s">
        <v>48</v>
      </c>
      <c r="E40" s="31" t="s">
        <v>49</v>
      </c>
      <c r="F40" s="32" t="n">
        <v>3339420.62</v>
      </c>
      <c r="G40" s="19" t="s">
        <v>54</v>
      </c>
      <c r="H40" s="19" t="s">
        <v>37</v>
      </c>
      <c r="I40" s="31" t="s">
        <v>80</v>
      </c>
    </row>
    <row r="41" customFormat="false" ht="15" hidden="false" customHeight="false" outlineLevel="0" collapsed="false">
      <c r="A41" s="33" t="s">
        <v>154</v>
      </c>
      <c r="B41" s="33" t="s">
        <v>155</v>
      </c>
      <c r="C41" s="34" t="s">
        <v>18</v>
      </c>
      <c r="D41" s="34" t="s">
        <v>34</v>
      </c>
      <c r="E41" s="34" t="s">
        <v>156</v>
      </c>
      <c r="F41" s="35" t="n">
        <v>2627555.41</v>
      </c>
      <c r="G41" s="33" t="s">
        <v>58</v>
      </c>
      <c r="H41" s="33" t="s">
        <v>37</v>
      </c>
      <c r="I41" s="34"/>
    </row>
    <row r="42" customFormat="false" ht="15" hidden="false" customHeight="false" outlineLevel="0" collapsed="false">
      <c r="A42" s="19" t="s">
        <v>157</v>
      </c>
      <c r="B42" s="19" t="s">
        <v>158</v>
      </c>
      <c r="C42" s="31" t="s">
        <v>16</v>
      </c>
      <c r="D42" s="31" t="s">
        <v>21</v>
      </c>
      <c r="E42" s="31" t="s">
        <v>79</v>
      </c>
      <c r="F42" s="32" t="n">
        <v>3074069.1</v>
      </c>
      <c r="G42" s="19" t="s">
        <v>64</v>
      </c>
      <c r="H42" s="19" t="s">
        <v>50</v>
      </c>
      <c r="I42" s="31"/>
    </row>
    <row r="43" customFormat="false" ht="15" hidden="false" customHeight="false" outlineLevel="0" collapsed="false">
      <c r="A43" s="33" t="s">
        <v>159</v>
      </c>
      <c r="B43" s="33" t="s">
        <v>155</v>
      </c>
      <c r="C43" s="34" t="s">
        <v>18</v>
      </c>
      <c r="D43" s="34" t="s">
        <v>75</v>
      </c>
      <c r="E43" s="34" t="s">
        <v>76</v>
      </c>
      <c r="F43" s="35" t="n">
        <v>4393284.06</v>
      </c>
      <c r="G43" s="33" t="s">
        <v>36</v>
      </c>
      <c r="H43" s="33" t="s">
        <v>37</v>
      </c>
      <c r="I43" s="34"/>
    </row>
    <row r="44" customFormat="false" ht="15" hidden="false" customHeight="false" outlineLevel="0" collapsed="false">
      <c r="A44" s="19" t="s">
        <v>160</v>
      </c>
      <c r="B44" s="19" t="s">
        <v>161</v>
      </c>
      <c r="C44" s="31" t="s">
        <v>21</v>
      </c>
      <c r="D44" s="31" t="s">
        <v>44</v>
      </c>
      <c r="E44" s="31" t="s">
        <v>92</v>
      </c>
      <c r="F44" s="32" t="n">
        <v>3890327.17</v>
      </c>
      <c r="G44" s="19" t="s">
        <v>58</v>
      </c>
      <c r="H44" s="19" t="s">
        <v>37</v>
      </c>
      <c r="I44" s="31"/>
    </row>
    <row r="45" customFormat="false" ht="15" hidden="false" customHeight="false" outlineLevel="0" collapsed="false">
      <c r="A45" s="33" t="s">
        <v>162</v>
      </c>
      <c r="B45" s="33" t="s">
        <v>163</v>
      </c>
      <c r="C45" s="34" t="s">
        <v>16</v>
      </c>
      <c r="D45" s="34" t="s">
        <v>87</v>
      </c>
      <c r="E45" s="34" t="s">
        <v>88</v>
      </c>
      <c r="F45" s="35" t="n">
        <v>910084.14</v>
      </c>
      <c r="G45" s="33" t="s">
        <v>64</v>
      </c>
      <c r="H45" s="33" t="s">
        <v>41</v>
      </c>
      <c r="I45" s="34" t="s">
        <v>80</v>
      </c>
    </row>
    <row r="46" customFormat="false" ht="15" hidden="false" customHeight="false" outlineLevel="0" collapsed="false">
      <c r="A46" s="19" t="s">
        <v>164</v>
      </c>
      <c r="B46" s="19" t="s">
        <v>165</v>
      </c>
      <c r="C46" s="31" t="s">
        <v>91</v>
      </c>
      <c r="D46" s="31" t="s">
        <v>21</v>
      </c>
      <c r="E46" s="31" t="s">
        <v>166</v>
      </c>
      <c r="F46" s="32" t="n">
        <v>3891622.95</v>
      </c>
      <c r="G46" s="19" t="s">
        <v>68</v>
      </c>
      <c r="H46" s="19" t="s">
        <v>50</v>
      </c>
      <c r="I46" s="31"/>
    </row>
    <row r="47" customFormat="false" ht="15" hidden="false" customHeight="false" outlineLevel="0" collapsed="false">
      <c r="A47" s="33" t="s">
        <v>167</v>
      </c>
      <c r="B47" s="33" t="s">
        <v>168</v>
      </c>
      <c r="C47" s="34" t="s">
        <v>18</v>
      </c>
      <c r="D47" s="34" t="s">
        <v>21</v>
      </c>
      <c r="E47" s="34" t="s">
        <v>79</v>
      </c>
      <c r="F47" s="35" t="n">
        <v>532307.76</v>
      </c>
      <c r="G47" s="33" t="s">
        <v>68</v>
      </c>
      <c r="H47" s="33" t="s">
        <v>59</v>
      </c>
      <c r="I47" s="34" t="s">
        <v>118</v>
      </c>
    </row>
    <row r="48" customFormat="false" ht="15" hidden="false" customHeight="false" outlineLevel="0" collapsed="false">
      <c r="A48" s="19" t="s">
        <v>169</v>
      </c>
      <c r="B48" s="19" t="s">
        <v>53</v>
      </c>
      <c r="C48" s="31" t="s">
        <v>21</v>
      </c>
      <c r="D48" s="31" t="s">
        <v>21</v>
      </c>
      <c r="E48" s="31" t="s">
        <v>166</v>
      </c>
      <c r="F48" s="32" t="n">
        <v>2733846.71</v>
      </c>
      <c r="G48" s="19" t="s">
        <v>54</v>
      </c>
      <c r="H48" s="19" t="s">
        <v>41</v>
      </c>
      <c r="I48" s="31" t="s">
        <v>118</v>
      </c>
    </row>
    <row r="49" customFormat="false" ht="15" hidden="false" customHeight="false" outlineLevel="0" collapsed="false">
      <c r="A49" s="33" t="s">
        <v>170</v>
      </c>
      <c r="B49" s="33" t="s">
        <v>129</v>
      </c>
      <c r="C49" s="34" t="s">
        <v>16</v>
      </c>
      <c r="D49" s="34" t="s">
        <v>83</v>
      </c>
      <c r="E49" s="34" t="s">
        <v>171</v>
      </c>
      <c r="F49" s="35" t="n">
        <v>3095554.3</v>
      </c>
      <c r="G49" s="33" t="s">
        <v>58</v>
      </c>
      <c r="H49" s="33" t="s">
        <v>37</v>
      </c>
      <c r="I49" s="34"/>
    </row>
    <row r="50" customFormat="false" ht="15" hidden="false" customHeight="false" outlineLevel="0" collapsed="false">
      <c r="A50" s="19" t="s">
        <v>172</v>
      </c>
      <c r="B50" s="19" t="s">
        <v>173</v>
      </c>
      <c r="C50" s="31" t="s">
        <v>21</v>
      </c>
      <c r="D50" s="31" t="s">
        <v>139</v>
      </c>
      <c r="E50" s="31" t="s">
        <v>174</v>
      </c>
      <c r="F50" s="32" t="n">
        <v>2990292.83</v>
      </c>
      <c r="G50" s="19" t="s">
        <v>64</v>
      </c>
      <c r="H50" s="19" t="s">
        <v>59</v>
      </c>
      <c r="I50" s="31"/>
    </row>
    <row r="51" customFormat="false" ht="15" hidden="false" customHeight="false" outlineLevel="0" collapsed="false">
      <c r="A51" s="33" t="s">
        <v>175</v>
      </c>
      <c r="B51" s="33" t="s">
        <v>176</v>
      </c>
      <c r="C51" s="34" t="s">
        <v>21</v>
      </c>
      <c r="D51" s="34" t="s">
        <v>44</v>
      </c>
      <c r="E51" s="34" t="s">
        <v>92</v>
      </c>
      <c r="F51" s="35" t="n">
        <v>1341013.58</v>
      </c>
      <c r="G51" s="33" t="s">
        <v>54</v>
      </c>
      <c r="H51" s="33" t="s">
        <v>50</v>
      </c>
      <c r="I51" s="34"/>
    </row>
    <row r="52" customFormat="false" ht="15" hidden="false" customHeight="false" outlineLevel="0" collapsed="false">
      <c r="A52" s="19" t="s">
        <v>177</v>
      </c>
      <c r="B52" s="19" t="s">
        <v>126</v>
      </c>
      <c r="C52" s="31" t="s">
        <v>18</v>
      </c>
      <c r="D52" s="31" t="s">
        <v>139</v>
      </c>
      <c r="E52" s="31" t="s">
        <v>140</v>
      </c>
      <c r="F52" s="32" t="n">
        <v>1364760.19</v>
      </c>
      <c r="G52" s="19" t="s">
        <v>36</v>
      </c>
      <c r="H52" s="19" t="s">
        <v>59</v>
      </c>
      <c r="I52" s="31" t="s">
        <v>118</v>
      </c>
    </row>
    <row r="53" customFormat="false" ht="15" hidden="false" customHeight="false" outlineLevel="0" collapsed="false">
      <c r="A53" s="33" t="s">
        <v>178</v>
      </c>
      <c r="B53" s="33" t="s">
        <v>179</v>
      </c>
      <c r="C53" s="34" t="s">
        <v>20</v>
      </c>
      <c r="D53" s="34" t="s">
        <v>139</v>
      </c>
      <c r="E53" s="34" t="s">
        <v>140</v>
      </c>
      <c r="F53" s="35" t="n">
        <v>1460287.8</v>
      </c>
      <c r="G53" s="33" t="s">
        <v>58</v>
      </c>
      <c r="H53" s="33" t="s">
        <v>102</v>
      </c>
      <c r="I53" s="34"/>
    </row>
    <row r="54" customFormat="false" ht="15" hidden="false" customHeight="false" outlineLevel="0" collapsed="false">
      <c r="A54" s="19" t="s">
        <v>180</v>
      </c>
      <c r="B54" s="19" t="s">
        <v>181</v>
      </c>
      <c r="C54" s="31" t="s">
        <v>18</v>
      </c>
      <c r="D54" s="31" t="s">
        <v>62</v>
      </c>
      <c r="E54" s="31" t="s">
        <v>63</v>
      </c>
      <c r="F54" s="32" t="n">
        <v>2326802.26</v>
      </c>
      <c r="G54" s="19" t="s">
        <v>64</v>
      </c>
      <c r="H54" s="19" t="s">
        <v>37</v>
      </c>
      <c r="I54" s="31"/>
    </row>
    <row r="55" customFormat="false" ht="15" hidden="false" customHeight="false" outlineLevel="0" collapsed="false">
      <c r="A55" s="33" t="s">
        <v>182</v>
      </c>
      <c r="B55" s="33" t="s">
        <v>183</v>
      </c>
      <c r="C55" s="34" t="s">
        <v>19</v>
      </c>
      <c r="D55" s="34" t="s">
        <v>48</v>
      </c>
      <c r="E55" s="34" t="s">
        <v>49</v>
      </c>
      <c r="F55" s="35" t="n">
        <v>3632434.58</v>
      </c>
      <c r="G55" s="33" t="s">
        <v>36</v>
      </c>
      <c r="H55" s="33" t="s">
        <v>41</v>
      </c>
      <c r="I55" s="34"/>
    </row>
    <row r="56" customFormat="false" ht="15" hidden="false" customHeight="false" outlineLevel="0" collapsed="false">
      <c r="A56" s="19" t="s">
        <v>184</v>
      </c>
      <c r="B56" s="19" t="s">
        <v>185</v>
      </c>
      <c r="C56" s="31" t="s">
        <v>20</v>
      </c>
      <c r="D56" s="31" t="s">
        <v>62</v>
      </c>
      <c r="E56" s="31" t="s">
        <v>63</v>
      </c>
      <c r="F56" s="32" t="n">
        <v>1873767.93</v>
      </c>
      <c r="G56" s="19" t="s">
        <v>58</v>
      </c>
      <c r="H56" s="19" t="s">
        <v>50</v>
      </c>
      <c r="I56" s="31"/>
    </row>
    <row r="57" customFormat="false" ht="15" hidden="false" customHeight="false" outlineLevel="0" collapsed="false">
      <c r="A57" s="33" t="s">
        <v>186</v>
      </c>
      <c r="B57" s="33" t="s">
        <v>187</v>
      </c>
      <c r="C57" s="34" t="s">
        <v>19</v>
      </c>
      <c r="D57" s="34" t="s">
        <v>71</v>
      </c>
      <c r="E57" s="34" t="s">
        <v>188</v>
      </c>
      <c r="F57" s="35" t="n">
        <v>3098986.52</v>
      </c>
      <c r="G57" s="33" t="s">
        <v>54</v>
      </c>
      <c r="H57" s="33" t="s">
        <v>41</v>
      </c>
      <c r="I57" s="34" t="s">
        <v>118</v>
      </c>
    </row>
    <row r="58" customFormat="false" ht="15" hidden="false" customHeight="false" outlineLevel="0" collapsed="false">
      <c r="A58" s="19" t="s">
        <v>189</v>
      </c>
      <c r="B58" s="19" t="s">
        <v>190</v>
      </c>
      <c r="C58" s="31" t="s">
        <v>16</v>
      </c>
      <c r="D58" s="31" t="s">
        <v>83</v>
      </c>
      <c r="E58" s="31" t="s">
        <v>97</v>
      </c>
      <c r="F58" s="32" t="n">
        <v>4129853.01</v>
      </c>
      <c r="G58" s="19" t="s">
        <v>58</v>
      </c>
      <c r="H58" s="19" t="s">
        <v>102</v>
      </c>
      <c r="I58" s="31"/>
    </row>
    <row r="59" customFormat="false" ht="15" hidden="false" customHeight="false" outlineLevel="0" collapsed="false">
      <c r="A59" s="33" t="s">
        <v>191</v>
      </c>
      <c r="B59" s="33" t="s">
        <v>192</v>
      </c>
      <c r="C59" s="34" t="s">
        <v>18</v>
      </c>
      <c r="D59" s="34" t="s">
        <v>139</v>
      </c>
      <c r="E59" s="34" t="s">
        <v>174</v>
      </c>
      <c r="F59" s="35" t="n">
        <v>4275927.64</v>
      </c>
      <c r="G59" s="33" t="s">
        <v>68</v>
      </c>
      <c r="H59" s="33" t="s">
        <v>50</v>
      </c>
      <c r="I59" s="34"/>
    </row>
    <row r="60" customFormat="false" ht="15" hidden="false" customHeight="false" outlineLevel="0" collapsed="false">
      <c r="A60" s="19" t="s">
        <v>193</v>
      </c>
      <c r="B60" s="19" t="s">
        <v>179</v>
      </c>
      <c r="C60" s="31" t="s">
        <v>18</v>
      </c>
      <c r="D60" s="31" t="s">
        <v>87</v>
      </c>
      <c r="E60" s="31" t="s">
        <v>88</v>
      </c>
      <c r="F60" s="32" t="n">
        <v>3350294.66</v>
      </c>
      <c r="G60" s="19" t="s">
        <v>64</v>
      </c>
      <c r="H60" s="19" t="s">
        <v>41</v>
      </c>
      <c r="I60" s="31"/>
    </row>
    <row r="61" customFormat="false" ht="15" hidden="false" customHeight="false" outlineLevel="0" collapsed="false">
      <c r="A61" s="33" t="s">
        <v>194</v>
      </c>
      <c r="B61" s="33" t="s">
        <v>195</v>
      </c>
      <c r="C61" s="34" t="s">
        <v>20</v>
      </c>
      <c r="D61" s="34" t="s">
        <v>83</v>
      </c>
      <c r="E61" s="34" t="s">
        <v>84</v>
      </c>
      <c r="F61" s="35" t="n">
        <v>2825966.74</v>
      </c>
      <c r="G61" s="33" t="s">
        <v>36</v>
      </c>
      <c r="H61" s="33" t="s">
        <v>59</v>
      </c>
      <c r="I61" s="34" t="s">
        <v>51</v>
      </c>
    </row>
    <row r="62" customFormat="false" ht="15" hidden="false" customHeight="false" outlineLevel="0" collapsed="false">
      <c r="A62" s="19" t="s">
        <v>196</v>
      </c>
      <c r="B62" s="19" t="s">
        <v>197</v>
      </c>
      <c r="C62" s="31" t="s">
        <v>21</v>
      </c>
      <c r="D62" s="31" t="s">
        <v>83</v>
      </c>
      <c r="E62" s="31" t="s">
        <v>97</v>
      </c>
      <c r="F62" s="32" t="n">
        <v>635607.67</v>
      </c>
      <c r="G62" s="19" t="s">
        <v>58</v>
      </c>
      <c r="H62" s="19" t="s">
        <v>41</v>
      </c>
      <c r="I62" s="31" t="s">
        <v>118</v>
      </c>
    </row>
    <row r="63" customFormat="false" ht="15" hidden="false" customHeight="false" outlineLevel="0" collapsed="false">
      <c r="A63" s="33" t="s">
        <v>198</v>
      </c>
      <c r="B63" s="33" t="s">
        <v>199</v>
      </c>
      <c r="C63" s="34" t="s">
        <v>21</v>
      </c>
      <c r="D63" s="34" t="s">
        <v>83</v>
      </c>
      <c r="E63" s="34" t="s">
        <v>84</v>
      </c>
      <c r="F63" s="35" t="n">
        <v>1879747.44</v>
      </c>
      <c r="G63" s="33" t="s">
        <v>54</v>
      </c>
      <c r="H63" s="33" t="s">
        <v>50</v>
      </c>
      <c r="I63" s="34"/>
    </row>
    <row r="64" customFormat="false" ht="15" hidden="false" customHeight="false" outlineLevel="0" collapsed="false">
      <c r="A64" s="19" t="s">
        <v>200</v>
      </c>
      <c r="B64" s="19" t="s">
        <v>201</v>
      </c>
      <c r="C64" s="31" t="s">
        <v>20</v>
      </c>
      <c r="D64" s="31" t="s">
        <v>34</v>
      </c>
      <c r="E64" s="31" t="s">
        <v>35</v>
      </c>
      <c r="F64" s="32" t="n">
        <v>1721008.91</v>
      </c>
      <c r="G64" s="19" t="s">
        <v>64</v>
      </c>
      <c r="H64" s="19" t="s">
        <v>50</v>
      </c>
      <c r="I64" s="31"/>
    </row>
    <row r="65" customFormat="false" ht="15" hidden="false" customHeight="false" outlineLevel="0" collapsed="false">
      <c r="A65" s="33" t="s">
        <v>202</v>
      </c>
      <c r="B65" s="33" t="s">
        <v>136</v>
      </c>
      <c r="C65" s="34" t="s">
        <v>91</v>
      </c>
      <c r="D65" s="34" t="s">
        <v>83</v>
      </c>
      <c r="E65" s="34" t="s">
        <v>171</v>
      </c>
      <c r="F65" s="35" t="n">
        <v>3309833.76</v>
      </c>
      <c r="G65" s="33" t="s">
        <v>54</v>
      </c>
      <c r="H65" s="33" t="s">
        <v>41</v>
      </c>
      <c r="I65" s="34" t="s">
        <v>118</v>
      </c>
    </row>
    <row r="66" customFormat="false" ht="15" hidden="false" customHeight="false" outlineLevel="0" collapsed="false">
      <c r="A66" s="19" t="s">
        <v>203</v>
      </c>
      <c r="B66" s="19" t="s">
        <v>204</v>
      </c>
      <c r="C66" s="31" t="s">
        <v>16</v>
      </c>
      <c r="D66" s="31" t="s">
        <v>44</v>
      </c>
      <c r="E66" s="31" t="s">
        <v>205</v>
      </c>
      <c r="F66" s="32" t="n">
        <v>3014898.19</v>
      </c>
      <c r="G66" s="19" t="s">
        <v>58</v>
      </c>
      <c r="H66" s="19" t="s">
        <v>102</v>
      </c>
      <c r="I66" s="31"/>
    </row>
    <row r="67" customFormat="false" ht="15" hidden="false" customHeight="false" outlineLevel="0" collapsed="false">
      <c r="A67" s="33" t="s">
        <v>206</v>
      </c>
      <c r="B67" s="33" t="s">
        <v>207</v>
      </c>
      <c r="C67" s="34" t="s">
        <v>20</v>
      </c>
      <c r="D67" s="34" t="s">
        <v>83</v>
      </c>
      <c r="E67" s="34" t="s">
        <v>97</v>
      </c>
      <c r="F67" s="35" t="n">
        <v>4082575.95</v>
      </c>
      <c r="G67" s="33" t="s">
        <v>36</v>
      </c>
      <c r="H67" s="33" t="s">
        <v>37</v>
      </c>
      <c r="I67" s="34"/>
    </row>
    <row r="68" customFormat="false" ht="15" hidden="false" customHeight="false" outlineLevel="0" collapsed="false">
      <c r="A68" s="19" t="s">
        <v>208</v>
      </c>
      <c r="B68" s="19" t="s">
        <v>209</v>
      </c>
      <c r="C68" s="31" t="s">
        <v>18</v>
      </c>
      <c r="D68" s="31" t="s">
        <v>87</v>
      </c>
      <c r="E68" s="31" t="s">
        <v>88</v>
      </c>
      <c r="F68" s="32" t="n">
        <v>240526.58</v>
      </c>
      <c r="G68" s="19" t="s">
        <v>58</v>
      </c>
      <c r="H68" s="19" t="s">
        <v>102</v>
      </c>
      <c r="I68" s="31"/>
    </row>
    <row r="69" customFormat="false" ht="15" hidden="false" customHeight="false" outlineLevel="0" collapsed="false">
      <c r="A69" s="33" t="s">
        <v>210</v>
      </c>
      <c r="B69" s="33" t="s">
        <v>211</v>
      </c>
      <c r="C69" s="34" t="s">
        <v>91</v>
      </c>
      <c r="D69" s="34" t="s">
        <v>48</v>
      </c>
      <c r="E69" s="34" t="s">
        <v>130</v>
      </c>
      <c r="F69" s="35" t="n">
        <v>1146437.82</v>
      </c>
      <c r="G69" s="33" t="s">
        <v>36</v>
      </c>
      <c r="H69" s="33" t="s">
        <v>37</v>
      </c>
      <c r="I69" s="34"/>
    </row>
    <row r="70" customFormat="false" ht="15" hidden="false" customHeight="false" outlineLevel="0" collapsed="false">
      <c r="A70" s="19" t="s">
        <v>212</v>
      </c>
      <c r="B70" s="19" t="s">
        <v>213</v>
      </c>
      <c r="C70" s="31" t="s">
        <v>21</v>
      </c>
      <c r="D70" s="31" t="s">
        <v>75</v>
      </c>
      <c r="E70" s="31" t="s">
        <v>108</v>
      </c>
      <c r="F70" s="32" t="n">
        <v>322753.39</v>
      </c>
      <c r="G70" s="19" t="s">
        <v>36</v>
      </c>
      <c r="H70" s="19" t="s">
        <v>41</v>
      </c>
      <c r="I70" s="31" t="s">
        <v>94</v>
      </c>
    </row>
    <row r="71" customFormat="false" ht="15" hidden="false" customHeight="false" outlineLevel="0" collapsed="false">
      <c r="A71" s="33" t="s">
        <v>214</v>
      </c>
      <c r="B71" s="33" t="s">
        <v>158</v>
      </c>
      <c r="C71" s="34" t="s">
        <v>20</v>
      </c>
      <c r="D71" s="34" t="s">
        <v>71</v>
      </c>
      <c r="E71" s="34" t="s">
        <v>105</v>
      </c>
      <c r="F71" s="35" t="n">
        <v>581101.07</v>
      </c>
      <c r="G71" s="33" t="s">
        <v>68</v>
      </c>
      <c r="H71" s="33" t="s">
        <v>41</v>
      </c>
      <c r="I71" s="34"/>
    </row>
    <row r="72" customFormat="false" ht="15" hidden="false" customHeight="false" outlineLevel="0" collapsed="false">
      <c r="A72" s="19" t="s">
        <v>215</v>
      </c>
      <c r="B72" s="19" t="s">
        <v>216</v>
      </c>
      <c r="C72" s="31" t="s">
        <v>20</v>
      </c>
      <c r="D72" s="31" t="s">
        <v>21</v>
      </c>
      <c r="E72" s="31" t="s">
        <v>79</v>
      </c>
      <c r="F72" s="32" t="n">
        <v>2732428.73</v>
      </c>
      <c r="G72" s="19" t="s">
        <v>36</v>
      </c>
      <c r="H72" s="19" t="s">
        <v>37</v>
      </c>
      <c r="I72" s="31"/>
    </row>
    <row r="73" customFormat="false" ht="15" hidden="false" customHeight="false" outlineLevel="0" collapsed="false">
      <c r="A73" s="33" t="s">
        <v>217</v>
      </c>
      <c r="B73" s="33" t="s">
        <v>218</v>
      </c>
      <c r="C73" s="34" t="s">
        <v>17</v>
      </c>
      <c r="D73" s="34" t="s">
        <v>139</v>
      </c>
      <c r="E73" s="34" t="s">
        <v>219</v>
      </c>
      <c r="F73" s="35" t="n">
        <v>4181058.95</v>
      </c>
      <c r="G73" s="33" t="s">
        <v>54</v>
      </c>
      <c r="H73" s="33" t="s">
        <v>50</v>
      </c>
      <c r="I73" s="34"/>
    </row>
    <row r="74" customFormat="false" ht="15" hidden="false" customHeight="false" outlineLevel="0" collapsed="false">
      <c r="A74" s="19" t="s">
        <v>220</v>
      </c>
      <c r="B74" s="19" t="s">
        <v>221</v>
      </c>
      <c r="C74" s="31" t="s">
        <v>19</v>
      </c>
      <c r="D74" s="31" t="s">
        <v>62</v>
      </c>
      <c r="E74" s="31" t="s">
        <v>115</v>
      </c>
      <c r="F74" s="32" t="n">
        <v>3112405.66</v>
      </c>
      <c r="G74" s="19" t="s">
        <v>36</v>
      </c>
      <c r="H74" s="19" t="s">
        <v>59</v>
      </c>
      <c r="I74" s="31"/>
    </row>
    <row r="75" customFormat="false" ht="15" hidden="false" customHeight="false" outlineLevel="0" collapsed="false">
      <c r="A75" s="33" t="s">
        <v>222</v>
      </c>
      <c r="B75" s="33" t="s">
        <v>223</v>
      </c>
      <c r="C75" s="34" t="s">
        <v>20</v>
      </c>
      <c r="D75" s="34" t="s">
        <v>62</v>
      </c>
      <c r="E75" s="34" t="s">
        <v>115</v>
      </c>
      <c r="F75" s="35" t="n">
        <v>3525119.53</v>
      </c>
      <c r="G75" s="33" t="s">
        <v>54</v>
      </c>
      <c r="H75" s="33" t="s">
        <v>37</v>
      </c>
      <c r="I75" s="34" t="s">
        <v>51</v>
      </c>
    </row>
    <row r="76" customFormat="false" ht="15" hidden="false" customHeight="false" outlineLevel="0" collapsed="false">
      <c r="A76" s="19" t="s">
        <v>224</v>
      </c>
      <c r="B76" s="19" t="s">
        <v>225</v>
      </c>
      <c r="C76" s="31" t="s">
        <v>16</v>
      </c>
      <c r="D76" s="31" t="s">
        <v>44</v>
      </c>
      <c r="E76" s="31" t="s">
        <v>205</v>
      </c>
      <c r="F76" s="32" t="n">
        <v>488341.83</v>
      </c>
      <c r="G76" s="19" t="s">
        <v>54</v>
      </c>
      <c r="H76" s="19" t="s">
        <v>37</v>
      </c>
      <c r="I76" s="31"/>
    </row>
    <row r="77" customFormat="false" ht="15" hidden="false" customHeight="false" outlineLevel="0" collapsed="false">
      <c r="A77" s="33" t="s">
        <v>226</v>
      </c>
      <c r="B77" s="33" t="s">
        <v>227</v>
      </c>
      <c r="C77" s="34" t="s">
        <v>18</v>
      </c>
      <c r="D77" s="34" t="s">
        <v>48</v>
      </c>
      <c r="E77" s="34" t="s">
        <v>67</v>
      </c>
      <c r="F77" s="35" t="n">
        <v>3639773.5</v>
      </c>
      <c r="G77" s="33" t="s">
        <v>54</v>
      </c>
      <c r="H77" s="33" t="s">
        <v>102</v>
      </c>
      <c r="I77" s="34"/>
    </row>
    <row r="78" customFormat="false" ht="15" hidden="false" customHeight="false" outlineLevel="0" collapsed="false">
      <c r="A78" s="19" t="s">
        <v>228</v>
      </c>
      <c r="B78" s="19" t="s">
        <v>229</v>
      </c>
      <c r="C78" s="31" t="s">
        <v>20</v>
      </c>
      <c r="D78" s="31" t="s">
        <v>48</v>
      </c>
      <c r="E78" s="31" t="s">
        <v>130</v>
      </c>
      <c r="F78" s="32" t="n">
        <v>3834933.52</v>
      </c>
      <c r="G78" s="19" t="s">
        <v>54</v>
      </c>
      <c r="H78" s="19" t="s">
        <v>41</v>
      </c>
      <c r="I78" s="31"/>
    </row>
    <row r="79" customFormat="false" ht="15" hidden="false" customHeight="false" outlineLevel="0" collapsed="false">
      <c r="A79" s="33" t="s">
        <v>230</v>
      </c>
      <c r="B79" s="33" t="s">
        <v>231</v>
      </c>
      <c r="C79" s="34" t="s">
        <v>20</v>
      </c>
      <c r="D79" s="34" t="s">
        <v>139</v>
      </c>
      <c r="E79" s="34" t="s">
        <v>140</v>
      </c>
      <c r="F79" s="35" t="n">
        <v>1714767.03</v>
      </c>
      <c r="G79" s="33" t="s">
        <v>64</v>
      </c>
      <c r="H79" s="33" t="s">
        <v>37</v>
      </c>
      <c r="I79" s="34"/>
    </row>
    <row r="80" customFormat="false" ht="15" hidden="false" customHeight="false" outlineLevel="0" collapsed="false">
      <c r="A80" s="19" t="s">
        <v>232</v>
      </c>
      <c r="B80" s="19" t="s">
        <v>233</v>
      </c>
      <c r="C80" s="31" t="s">
        <v>21</v>
      </c>
      <c r="D80" s="31" t="s">
        <v>48</v>
      </c>
      <c r="E80" s="31" t="s">
        <v>130</v>
      </c>
      <c r="F80" s="32" t="n">
        <v>1269268.32</v>
      </c>
      <c r="G80" s="19" t="s">
        <v>64</v>
      </c>
      <c r="H80" s="19" t="s">
        <v>37</v>
      </c>
      <c r="I80" s="31"/>
    </row>
    <row r="81" customFormat="false" ht="15" hidden="false" customHeight="false" outlineLevel="0" collapsed="false">
      <c r="A81" s="33" t="s">
        <v>234</v>
      </c>
      <c r="B81" s="33" t="s">
        <v>235</v>
      </c>
      <c r="C81" s="34" t="s">
        <v>19</v>
      </c>
      <c r="D81" s="34" t="s">
        <v>62</v>
      </c>
      <c r="E81" s="34" t="s">
        <v>112</v>
      </c>
      <c r="F81" s="35" t="n">
        <v>3244534.87</v>
      </c>
      <c r="G81" s="33" t="s">
        <v>58</v>
      </c>
      <c r="H81" s="33" t="s">
        <v>102</v>
      </c>
      <c r="I81" s="34"/>
    </row>
    <row r="82" customFormat="false" ht="15" hidden="false" customHeight="false" outlineLevel="0" collapsed="false">
      <c r="A82" s="19" t="s">
        <v>236</v>
      </c>
      <c r="B82" s="19" t="s">
        <v>197</v>
      </c>
      <c r="C82" s="31" t="s">
        <v>111</v>
      </c>
      <c r="D82" s="31" t="s">
        <v>87</v>
      </c>
      <c r="E82" s="31" t="s">
        <v>88</v>
      </c>
      <c r="F82" s="32" t="n">
        <v>432344.28</v>
      </c>
      <c r="G82" s="19" t="s">
        <v>58</v>
      </c>
      <c r="H82" s="19" t="s">
        <v>59</v>
      </c>
      <c r="I82" s="31"/>
    </row>
    <row r="83" customFormat="false" ht="15" hidden="false" customHeight="false" outlineLevel="0" collapsed="false">
      <c r="A83" s="33" t="s">
        <v>237</v>
      </c>
      <c r="B83" s="33" t="s">
        <v>204</v>
      </c>
      <c r="C83" s="34" t="s">
        <v>21</v>
      </c>
      <c r="D83" s="34" t="s">
        <v>87</v>
      </c>
      <c r="E83" s="34" t="s">
        <v>238</v>
      </c>
      <c r="F83" s="35" t="n">
        <v>2396184.86</v>
      </c>
      <c r="G83" s="33" t="s">
        <v>68</v>
      </c>
      <c r="H83" s="33" t="s">
        <v>37</v>
      </c>
      <c r="I83" s="34"/>
    </row>
    <row r="84" customFormat="false" ht="15" hidden="false" customHeight="false" outlineLevel="0" collapsed="false">
      <c r="A84" s="19" t="s">
        <v>239</v>
      </c>
      <c r="B84" s="19" t="s">
        <v>173</v>
      </c>
      <c r="C84" s="31" t="s">
        <v>111</v>
      </c>
      <c r="D84" s="31" t="s">
        <v>48</v>
      </c>
      <c r="E84" s="31" t="s">
        <v>130</v>
      </c>
      <c r="F84" s="32" t="n">
        <v>1142545.49</v>
      </c>
      <c r="G84" s="19" t="s">
        <v>58</v>
      </c>
      <c r="H84" s="19" t="s">
        <v>37</v>
      </c>
      <c r="I84" s="31" t="s">
        <v>80</v>
      </c>
    </row>
    <row r="85" customFormat="false" ht="15" hidden="false" customHeight="false" outlineLevel="0" collapsed="false">
      <c r="A85" s="33" t="s">
        <v>240</v>
      </c>
      <c r="B85" s="33" t="s">
        <v>117</v>
      </c>
      <c r="C85" s="34" t="s">
        <v>19</v>
      </c>
      <c r="D85" s="34" t="s">
        <v>75</v>
      </c>
      <c r="E85" s="34" t="s">
        <v>108</v>
      </c>
      <c r="F85" s="35" t="n">
        <v>2186630.66</v>
      </c>
      <c r="G85" s="33" t="s">
        <v>68</v>
      </c>
      <c r="H85" s="33" t="s">
        <v>59</v>
      </c>
      <c r="I85" s="34"/>
    </row>
    <row r="86" customFormat="false" ht="15" hidden="false" customHeight="false" outlineLevel="0" collapsed="false">
      <c r="A86" s="19" t="s">
        <v>241</v>
      </c>
      <c r="B86" s="19" t="s">
        <v>242</v>
      </c>
      <c r="C86" s="31" t="s">
        <v>19</v>
      </c>
      <c r="D86" s="31" t="s">
        <v>48</v>
      </c>
      <c r="E86" s="31" t="s">
        <v>49</v>
      </c>
      <c r="F86" s="32" t="n">
        <v>1633551.6</v>
      </c>
      <c r="G86" s="19" t="s">
        <v>68</v>
      </c>
      <c r="H86" s="19" t="s">
        <v>37</v>
      </c>
      <c r="I86" s="31" t="s">
        <v>94</v>
      </c>
    </row>
    <row r="87" customFormat="false" ht="15" hidden="false" customHeight="false" outlineLevel="0" collapsed="false">
      <c r="A87" s="33" t="s">
        <v>243</v>
      </c>
      <c r="B87" s="33" t="s">
        <v>244</v>
      </c>
      <c r="C87" s="34" t="s">
        <v>18</v>
      </c>
      <c r="D87" s="34" t="s">
        <v>48</v>
      </c>
      <c r="E87" s="34" t="s">
        <v>67</v>
      </c>
      <c r="F87" s="35" t="n">
        <v>4249241.92</v>
      </c>
      <c r="G87" s="33" t="s">
        <v>54</v>
      </c>
      <c r="H87" s="33" t="s">
        <v>37</v>
      </c>
      <c r="I87" s="34"/>
    </row>
    <row r="88" customFormat="false" ht="15" hidden="false" customHeight="false" outlineLevel="0" collapsed="false">
      <c r="A88" s="19" t="s">
        <v>245</v>
      </c>
      <c r="B88" s="19" t="s">
        <v>246</v>
      </c>
      <c r="C88" s="31" t="s">
        <v>20</v>
      </c>
      <c r="D88" s="31" t="s">
        <v>48</v>
      </c>
      <c r="E88" s="31" t="s">
        <v>130</v>
      </c>
      <c r="F88" s="32" t="n">
        <v>2162033.23</v>
      </c>
      <c r="G88" s="19" t="s">
        <v>36</v>
      </c>
      <c r="H88" s="19" t="s">
        <v>59</v>
      </c>
      <c r="I88" s="31"/>
    </row>
    <row r="89" customFormat="false" ht="15" hidden="false" customHeight="false" outlineLevel="0" collapsed="false">
      <c r="A89" s="33" t="s">
        <v>247</v>
      </c>
      <c r="B89" s="33" t="s">
        <v>248</v>
      </c>
      <c r="C89" s="34" t="s">
        <v>111</v>
      </c>
      <c r="D89" s="34" t="s">
        <v>62</v>
      </c>
      <c r="E89" s="34" t="s">
        <v>112</v>
      </c>
      <c r="F89" s="35" t="n">
        <v>1812172.88</v>
      </c>
      <c r="G89" s="33" t="s">
        <v>36</v>
      </c>
      <c r="H89" s="33" t="s">
        <v>37</v>
      </c>
      <c r="I89" s="34" t="s">
        <v>51</v>
      </c>
    </row>
    <row r="90" customFormat="false" ht="15" hidden="false" customHeight="false" outlineLevel="0" collapsed="false">
      <c r="A90" s="19" t="s">
        <v>249</v>
      </c>
      <c r="B90" s="19" t="s">
        <v>250</v>
      </c>
      <c r="C90" s="31" t="s">
        <v>17</v>
      </c>
      <c r="D90" s="31" t="s">
        <v>75</v>
      </c>
      <c r="E90" s="31" t="s">
        <v>76</v>
      </c>
      <c r="F90" s="32" t="n">
        <v>2517957.56</v>
      </c>
      <c r="G90" s="19" t="s">
        <v>68</v>
      </c>
      <c r="H90" s="19" t="s">
        <v>41</v>
      </c>
      <c r="I90" s="31"/>
    </row>
    <row r="91" customFormat="false" ht="15" hidden="false" customHeight="false" outlineLevel="0" collapsed="false">
      <c r="A91" s="33" t="s">
        <v>251</v>
      </c>
      <c r="B91" s="33" t="s">
        <v>252</v>
      </c>
      <c r="C91" s="34" t="s">
        <v>91</v>
      </c>
      <c r="D91" s="34" t="s">
        <v>87</v>
      </c>
      <c r="E91" s="34" t="s">
        <v>143</v>
      </c>
      <c r="F91" s="35" t="n">
        <v>1348628.8</v>
      </c>
      <c r="G91" s="33" t="s">
        <v>64</v>
      </c>
      <c r="H91" s="33" t="s">
        <v>37</v>
      </c>
      <c r="I91" s="34"/>
    </row>
    <row r="92" customFormat="false" ht="15" hidden="false" customHeight="false" outlineLevel="0" collapsed="false">
      <c r="A92" s="19" t="s">
        <v>253</v>
      </c>
      <c r="B92" s="19" t="s">
        <v>66</v>
      </c>
      <c r="C92" s="31" t="s">
        <v>17</v>
      </c>
      <c r="D92" s="31" t="s">
        <v>75</v>
      </c>
      <c r="E92" s="31" t="s">
        <v>108</v>
      </c>
      <c r="F92" s="32" t="n">
        <v>961448</v>
      </c>
      <c r="G92" s="19" t="s">
        <v>58</v>
      </c>
      <c r="H92" s="19" t="s">
        <v>41</v>
      </c>
      <c r="I92" s="31" t="s">
        <v>94</v>
      </c>
    </row>
    <row r="93" customFormat="false" ht="15" hidden="false" customHeight="false" outlineLevel="0" collapsed="false">
      <c r="A93" s="33" t="s">
        <v>254</v>
      </c>
      <c r="B93" s="33" t="s">
        <v>255</v>
      </c>
      <c r="C93" s="34" t="s">
        <v>18</v>
      </c>
      <c r="D93" s="34" t="s">
        <v>34</v>
      </c>
      <c r="E93" s="34" t="s">
        <v>156</v>
      </c>
      <c r="F93" s="35" t="n">
        <v>2035509.12</v>
      </c>
      <c r="G93" s="33" t="s">
        <v>64</v>
      </c>
      <c r="H93" s="33" t="s">
        <v>37</v>
      </c>
      <c r="I93" s="34" t="s">
        <v>51</v>
      </c>
    </row>
    <row r="94" customFormat="false" ht="15" hidden="false" customHeight="false" outlineLevel="0" collapsed="false">
      <c r="A94" s="19" t="s">
        <v>256</v>
      </c>
      <c r="B94" s="19" t="s">
        <v>43</v>
      </c>
      <c r="C94" s="31" t="s">
        <v>111</v>
      </c>
      <c r="D94" s="31" t="s">
        <v>62</v>
      </c>
      <c r="E94" s="31" t="s">
        <v>115</v>
      </c>
      <c r="F94" s="32" t="n">
        <v>1061905.77</v>
      </c>
      <c r="G94" s="19" t="s">
        <v>68</v>
      </c>
      <c r="H94" s="19" t="s">
        <v>41</v>
      </c>
      <c r="I94" s="31"/>
    </row>
    <row r="95" customFormat="false" ht="15" hidden="false" customHeight="false" outlineLevel="0" collapsed="false">
      <c r="A95" s="33" t="s">
        <v>257</v>
      </c>
      <c r="B95" s="33" t="s">
        <v>258</v>
      </c>
      <c r="C95" s="34" t="s">
        <v>18</v>
      </c>
      <c r="D95" s="34" t="s">
        <v>75</v>
      </c>
      <c r="E95" s="34" t="s">
        <v>108</v>
      </c>
      <c r="F95" s="35" t="n">
        <v>683217.46</v>
      </c>
      <c r="G95" s="33" t="s">
        <v>58</v>
      </c>
      <c r="H95" s="33" t="s">
        <v>37</v>
      </c>
      <c r="I95" s="34" t="s">
        <v>51</v>
      </c>
    </row>
    <row r="96" customFormat="false" ht="15" hidden="false" customHeight="false" outlineLevel="0" collapsed="false">
      <c r="A96" s="19" t="s">
        <v>259</v>
      </c>
      <c r="B96" s="19" t="s">
        <v>260</v>
      </c>
      <c r="C96" s="31" t="s">
        <v>20</v>
      </c>
      <c r="D96" s="31" t="s">
        <v>139</v>
      </c>
      <c r="E96" s="31" t="s">
        <v>174</v>
      </c>
      <c r="F96" s="32" t="n">
        <v>1984603.22</v>
      </c>
      <c r="G96" s="19" t="s">
        <v>64</v>
      </c>
      <c r="H96" s="19" t="s">
        <v>50</v>
      </c>
      <c r="I96" s="31"/>
    </row>
    <row r="97" customFormat="false" ht="15" hidden="false" customHeight="false" outlineLevel="0" collapsed="false">
      <c r="A97" s="33" t="s">
        <v>261</v>
      </c>
      <c r="B97" s="33" t="s">
        <v>262</v>
      </c>
      <c r="C97" s="34" t="s">
        <v>18</v>
      </c>
      <c r="D97" s="34" t="s">
        <v>83</v>
      </c>
      <c r="E97" s="34" t="s">
        <v>84</v>
      </c>
      <c r="F97" s="35" t="n">
        <v>1978348.5</v>
      </c>
      <c r="G97" s="33" t="s">
        <v>54</v>
      </c>
      <c r="H97" s="33" t="s">
        <v>37</v>
      </c>
      <c r="I97" s="34"/>
    </row>
    <row r="98" customFormat="false" ht="15" hidden="false" customHeight="false" outlineLevel="0" collapsed="false">
      <c r="A98" s="19" t="s">
        <v>263</v>
      </c>
      <c r="B98" s="19" t="s">
        <v>207</v>
      </c>
      <c r="C98" s="31" t="s">
        <v>16</v>
      </c>
      <c r="D98" s="31" t="s">
        <v>62</v>
      </c>
      <c r="E98" s="31" t="s">
        <v>112</v>
      </c>
      <c r="F98" s="32" t="n">
        <v>4329171.29</v>
      </c>
      <c r="G98" s="19" t="s">
        <v>36</v>
      </c>
      <c r="H98" s="19" t="s">
        <v>59</v>
      </c>
      <c r="I98" s="31"/>
    </row>
    <row r="99" customFormat="false" ht="15" hidden="false" customHeight="false" outlineLevel="0" collapsed="false">
      <c r="A99" s="33" t="s">
        <v>264</v>
      </c>
      <c r="B99" s="33" t="s">
        <v>168</v>
      </c>
      <c r="C99" s="34" t="s">
        <v>18</v>
      </c>
      <c r="D99" s="34" t="s">
        <v>87</v>
      </c>
      <c r="E99" s="34" t="s">
        <v>238</v>
      </c>
      <c r="F99" s="35" t="n">
        <v>2937020.06</v>
      </c>
      <c r="G99" s="33" t="s">
        <v>68</v>
      </c>
      <c r="H99" s="33" t="s">
        <v>50</v>
      </c>
      <c r="I99" s="34"/>
    </row>
    <row r="100" customFormat="false" ht="15" hidden="false" customHeight="false" outlineLevel="0" collapsed="false">
      <c r="A100" s="19" t="s">
        <v>265</v>
      </c>
      <c r="B100" s="19" t="s">
        <v>266</v>
      </c>
      <c r="C100" s="31" t="s">
        <v>111</v>
      </c>
      <c r="D100" s="31" t="s">
        <v>62</v>
      </c>
      <c r="E100" s="31" t="s">
        <v>63</v>
      </c>
      <c r="F100" s="32" t="n">
        <v>1575605.34</v>
      </c>
      <c r="G100" s="19" t="s">
        <v>36</v>
      </c>
      <c r="H100" s="19" t="s">
        <v>37</v>
      </c>
      <c r="I100" s="31"/>
    </row>
    <row r="101" customFormat="false" ht="15" hidden="false" customHeight="false" outlineLevel="0" collapsed="false">
      <c r="A101" s="33" t="s">
        <v>267</v>
      </c>
      <c r="B101" s="33" t="s">
        <v>268</v>
      </c>
      <c r="C101" s="34" t="s">
        <v>111</v>
      </c>
      <c r="D101" s="34" t="s">
        <v>48</v>
      </c>
      <c r="E101" s="34" t="s">
        <v>67</v>
      </c>
      <c r="F101" s="35" t="n">
        <v>4254193.02</v>
      </c>
      <c r="G101" s="33" t="s">
        <v>54</v>
      </c>
      <c r="H101" s="33" t="s">
        <v>37</v>
      </c>
      <c r="I101" s="34"/>
    </row>
    <row r="102" customFormat="false" ht="15" hidden="false" customHeight="false" outlineLevel="0" collapsed="false">
      <c r="A102" s="19" t="s">
        <v>269</v>
      </c>
      <c r="B102" s="19" t="s">
        <v>270</v>
      </c>
      <c r="C102" s="31" t="s">
        <v>21</v>
      </c>
      <c r="D102" s="31" t="s">
        <v>62</v>
      </c>
      <c r="E102" s="31" t="s">
        <v>63</v>
      </c>
      <c r="F102" s="32" t="n">
        <v>3894123.97</v>
      </c>
      <c r="G102" s="19" t="s">
        <v>68</v>
      </c>
      <c r="H102" s="19" t="s">
        <v>102</v>
      </c>
      <c r="I102" s="31"/>
    </row>
    <row r="103" customFormat="false" ht="15" hidden="false" customHeight="false" outlineLevel="0" collapsed="false">
      <c r="A103" s="33" t="s">
        <v>271</v>
      </c>
      <c r="B103" s="33" t="s">
        <v>272</v>
      </c>
      <c r="C103" s="34" t="s">
        <v>19</v>
      </c>
      <c r="D103" s="34" t="s">
        <v>83</v>
      </c>
      <c r="E103" s="34" t="s">
        <v>84</v>
      </c>
      <c r="F103" s="35" t="n">
        <v>2807512.92</v>
      </c>
      <c r="G103" s="33" t="s">
        <v>54</v>
      </c>
      <c r="H103" s="33" t="s">
        <v>37</v>
      </c>
      <c r="I103" s="34" t="s">
        <v>80</v>
      </c>
    </row>
    <row r="104" customFormat="false" ht="15" hidden="false" customHeight="false" outlineLevel="0" collapsed="false">
      <c r="A104" s="19" t="s">
        <v>273</v>
      </c>
      <c r="B104" s="19" t="s">
        <v>274</v>
      </c>
      <c r="C104" s="31" t="s">
        <v>20</v>
      </c>
      <c r="D104" s="31" t="s">
        <v>87</v>
      </c>
      <c r="E104" s="31" t="s">
        <v>238</v>
      </c>
      <c r="F104" s="32" t="n">
        <v>2188932.41</v>
      </c>
      <c r="G104" s="19" t="s">
        <v>68</v>
      </c>
      <c r="H104" s="19" t="s">
        <v>41</v>
      </c>
      <c r="I104" s="31"/>
    </row>
    <row r="105" customFormat="false" ht="15" hidden="false" customHeight="false" outlineLevel="0" collapsed="false">
      <c r="A105" s="33" t="s">
        <v>275</v>
      </c>
      <c r="B105" s="33" t="s">
        <v>145</v>
      </c>
      <c r="C105" s="34" t="s">
        <v>20</v>
      </c>
      <c r="D105" s="34" t="s">
        <v>83</v>
      </c>
      <c r="E105" s="34" t="s">
        <v>97</v>
      </c>
      <c r="F105" s="35" t="n">
        <v>2491847.57</v>
      </c>
      <c r="G105" s="33" t="s">
        <v>36</v>
      </c>
      <c r="H105" s="33" t="s">
        <v>102</v>
      </c>
      <c r="I105" s="34"/>
    </row>
    <row r="106" customFormat="false" ht="15" hidden="false" customHeight="false" outlineLevel="0" collapsed="false">
      <c r="A106" s="19" t="s">
        <v>276</v>
      </c>
      <c r="B106" s="19" t="s">
        <v>277</v>
      </c>
      <c r="C106" s="31" t="s">
        <v>18</v>
      </c>
      <c r="D106" s="31" t="s">
        <v>87</v>
      </c>
      <c r="E106" s="31" t="s">
        <v>238</v>
      </c>
      <c r="F106" s="32" t="n">
        <v>1323999.1</v>
      </c>
      <c r="G106" s="19" t="s">
        <v>54</v>
      </c>
      <c r="H106" s="19" t="s">
        <v>102</v>
      </c>
      <c r="I106" s="31"/>
    </row>
    <row r="107" customFormat="false" ht="15" hidden="false" customHeight="false" outlineLevel="0" collapsed="false">
      <c r="A107" s="33" t="s">
        <v>278</v>
      </c>
      <c r="B107" s="33" t="s">
        <v>279</v>
      </c>
      <c r="C107" s="34" t="s">
        <v>19</v>
      </c>
      <c r="D107" s="34" t="s">
        <v>87</v>
      </c>
      <c r="E107" s="34" t="s">
        <v>238</v>
      </c>
      <c r="F107" s="35" t="n">
        <v>663719.23</v>
      </c>
      <c r="G107" s="33" t="s">
        <v>68</v>
      </c>
      <c r="H107" s="33" t="s">
        <v>37</v>
      </c>
      <c r="I107" s="34"/>
    </row>
    <row r="108" customFormat="false" ht="15" hidden="false" customHeight="false" outlineLevel="0" collapsed="false">
      <c r="A108" s="19" t="s">
        <v>280</v>
      </c>
      <c r="B108" s="19" t="s">
        <v>90</v>
      </c>
      <c r="C108" s="31" t="s">
        <v>20</v>
      </c>
      <c r="D108" s="31" t="s">
        <v>44</v>
      </c>
      <c r="E108" s="31" t="s">
        <v>205</v>
      </c>
      <c r="F108" s="32" t="n">
        <v>4205104.05</v>
      </c>
      <c r="G108" s="19" t="s">
        <v>36</v>
      </c>
      <c r="H108" s="19" t="s">
        <v>59</v>
      </c>
      <c r="I108" s="31"/>
    </row>
    <row r="109" customFormat="false" ht="15" hidden="false" customHeight="false" outlineLevel="0" collapsed="false">
      <c r="A109" s="33" t="s">
        <v>281</v>
      </c>
      <c r="B109" s="33" t="s">
        <v>282</v>
      </c>
      <c r="C109" s="34" t="s">
        <v>20</v>
      </c>
      <c r="D109" s="34" t="s">
        <v>139</v>
      </c>
      <c r="E109" s="34" t="s">
        <v>140</v>
      </c>
      <c r="F109" s="35" t="n">
        <v>2211036.95</v>
      </c>
      <c r="G109" s="33" t="s">
        <v>68</v>
      </c>
      <c r="H109" s="33" t="s">
        <v>102</v>
      </c>
      <c r="I109" s="34"/>
    </row>
    <row r="110" customFormat="false" ht="15" hidden="false" customHeight="false" outlineLevel="0" collapsed="false">
      <c r="A110" s="19" t="s">
        <v>283</v>
      </c>
      <c r="B110" s="19" t="s">
        <v>284</v>
      </c>
      <c r="C110" s="31" t="s">
        <v>18</v>
      </c>
      <c r="D110" s="31" t="s">
        <v>83</v>
      </c>
      <c r="E110" s="31" t="s">
        <v>84</v>
      </c>
      <c r="F110" s="32" t="n">
        <v>2057220.61</v>
      </c>
      <c r="G110" s="19" t="s">
        <v>58</v>
      </c>
      <c r="H110" s="19" t="s">
        <v>41</v>
      </c>
      <c r="I110" s="31"/>
    </row>
    <row r="111" customFormat="false" ht="15" hidden="false" customHeight="false" outlineLevel="0" collapsed="false">
      <c r="A111" s="33" t="s">
        <v>285</v>
      </c>
      <c r="B111" s="33" t="s">
        <v>260</v>
      </c>
      <c r="C111" s="34" t="s">
        <v>19</v>
      </c>
      <c r="D111" s="34" t="s">
        <v>44</v>
      </c>
      <c r="E111" s="34" t="s">
        <v>45</v>
      </c>
      <c r="F111" s="35" t="n">
        <v>1442020.83</v>
      </c>
      <c r="G111" s="33" t="s">
        <v>54</v>
      </c>
      <c r="H111" s="33" t="s">
        <v>50</v>
      </c>
      <c r="I111" s="34"/>
    </row>
    <row r="112" customFormat="false" ht="15" hidden="false" customHeight="false" outlineLevel="0" collapsed="false">
      <c r="A112" s="19" t="s">
        <v>286</v>
      </c>
      <c r="B112" s="19" t="s">
        <v>287</v>
      </c>
      <c r="C112" s="31" t="s">
        <v>18</v>
      </c>
      <c r="D112" s="31" t="s">
        <v>87</v>
      </c>
      <c r="E112" s="31" t="s">
        <v>88</v>
      </c>
      <c r="F112" s="32" t="n">
        <v>581214.52</v>
      </c>
      <c r="G112" s="19" t="s">
        <v>36</v>
      </c>
      <c r="H112" s="19" t="s">
        <v>102</v>
      </c>
      <c r="I112" s="31" t="s">
        <v>118</v>
      </c>
    </row>
    <row r="113" customFormat="false" ht="15" hidden="false" customHeight="false" outlineLevel="0" collapsed="false">
      <c r="A113" s="33" t="s">
        <v>288</v>
      </c>
      <c r="B113" s="33" t="s">
        <v>289</v>
      </c>
      <c r="C113" s="34" t="s">
        <v>16</v>
      </c>
      <c r="D113" s="34" t="s">
        <v>71</v>
      </c>
      <c r="E113" s="34" t="s">
        <v>72</v>
      </c>
      <c r="F113" s="35" t="n">
        <v>3921134.38</v>
      </c>
      <c r="G113" s="33" t="s">
        <v>54</v>
      </c>
      <c r="H113" s="33" t="s">
        <v>59</v>
      </c>
      <c r="I113" s="34"/>
    </row>
    <row r="114" customFormat="false" ht="15" hidden="false" customHeight="false" outlineLevel="0" collapsed="false">
      <c r="A114" s="19" t="s">
        <v>290</v>
      </c>
      <c r="B114" s="19" t="s">
        <v>291</v>
      </c>
      <c r="C114" s="31" t="s">
        <v>91</v>
      </c>
      <c r="D114" s="31" t="s">
        <v>62</v>
      </c>
      <c r="E114" s="31" t="s">
        <v>63</v>
      </c>
      <c r="F114" s="32" t="n">
        <v>3837750.89</v>
      </c>
      <c r="G114" s="19" t="s">
        <v>64</v>
      </c>
      <c r="H114" s="19" t="s">
        <v>102</v>
      </c>
      <c r="I114" s="31"/>
    </row>
    <row r="115" customFormat="false" ht="15" hidden="false" customHeight="false" outlineLevel="0" collapsed="false">
      <c r="A115" s="33" t="s">
        <v>292</v>
      </c>
      <c r="B115" s="33" t="s">
        <v>293</v>
      </c>
      <c r="C115" s="34" t="s">
        <v>16</v>
      </c>
      <c r="D115" s="34" t="s">
        <v>139</v>
      </c>
      <c r="E115" s="34" t="s">
        <v>219</v>
      </c>
      <c r="F115" s="35" t="n">
        <v>1067944.54</v>
      </c>
      <c r="G115" s="33" t="s">
        <v>58</v>
      </c>
      <c r="H115" s="33" t="s">
        <v>37</v>
      </c>
      <c r="I115" s="34"/>
    </row>
    <row r="116" customFormat="false" ht="15" hidden="false" customHeight="false" outlineLevel="0" collapsed="false">
      <c r="A116" s="19" t="s">
        <v>294</v>
      </c>
      <c r="B116" s="19" t="s">
        <v>242</v>
      </c>
      <c r="C116" s="31" t="s">
        <v>17</v>
      </c>
      <c r="D116" s="31" t="s">
        <v>62</v>
      </c>
      <c r="E116" s="31" t="s">
        <v>63</v>
      </c>
      <c r="F116" s="32" t="n">
        <v>761146.07</v>
      </c>
      <c r="G116" s="19" t="s">
        <v>36</v>
      </c>
      <c r="H116" s="19" t="s">
        <v>37</v>
      </c>
      <c r="I116" s="31"/>
    </row>
    <row r="117" customFormat="false" ht="15" hidden="false" customHeight="false" outlineLevel="0" collapsed="false">
      <c r="A117" s="33" t="s">
        <v>295</v>
      </c>
      <c r="B117" s="33" t="s">
        <v>296</v>
      </c>
      <c r="C117" s="34" t="s">
        <v>20</v>
      </c>
      <c r="D117" s="34" t="s">
        <v>21</v>
      </c>
      <c r="E117" s="34" t="s">
        <v>166</v>
      </c>
      <c r="F117" s="35" t="n">
        <v>1946630.24</v>
      </c>
      <c r="G117" s="33" t="s">
        <v>54</v>
      </c>
      <c r="H117" s="33" t="s">
        <v>37</v>
      </c>
      <c r="I117" s="34" t="s">
        <v>94</v>
      </c>
    </row>
    <row r="118" customFormat="false" ht="15" hidden="false" customHeight="false" outlineLevel="0" collapsed="false">
      <c r="A118" s="19" t="s">
        <v>297</v>
      </c>
      <c r="B118" s="19" t="s">
        <v>298</v>
      </c>
      <c r="C118" s="31" t="s">
        <v>20</v>
      </c>
      <c r="D118" s="31" t="s">
        <v>44</v>
      </c>
      <c r="E118" s="31" t="s">
        <v>92</v>
      </c>
      <c r="F118" s="32" t="n">
        <v>3078858.59</v>
      </c>
      <c r="G118" s="19" t="s">
        <v>58</v>
      </c>
      <c r="H118" s="19" t="s">
        <v>41</v>
      </c>
      <c r="I118" s="31"/>
    </row>
    <row r="119" customFormat="false" ht="15" hidden="false" customHeight="false" outlineLevel="0" collapsed="false">
      <c r="A119" s="33" t="s">
        <v>299</v>
      </c>
      <c r="B119" s="33" t="s">
        <v>300</v>
      </c>
      <c r="C119" s="34" t="s">
        <v>20</v>
      </c>
      <c r="D119" s="34" t="s">
        <v>87</v>
      </c>
      <c r="E119" s="34" t="s">
        <v>143</v>
      </c>
      <c r="F119" s="35" t="n">
        <v>3005780.62</v>
      </c>
      <c r="G119" s="33" t="s">
        <v>68</v>
      </c>
      <c r="H119" s="33" t="s">
        <v>37</v>
      </c>
      <c r="I119" s="34" t="s">
        <v>51</v>
      </c>
    </row>
    <row r="120" customFormat="false" ht="15" hidden="false" customHeight="false" outlineLevel="0" collapsed="false">
      <c r="A120" s="19" t="s">
        <v>301</v>
      </c>
      <c r="B120" s="19" t="s">
        <v>277</v>
      </c>
      <c r="C120" s="31" t="s">
        <v>20</v>
      </c>
      <c r="D120" s="31" t="s">
        <v>48</v>
      </c>
      <c r="E120" s="31" t="s">
        <v>67</v>
      </c>
      <c r="F120" s="32" t="n">
        <v>4329700.39</v>
      </c>
      <c r="G120" s="19" t="s">
        <v>54</v>
      </c>
      <c r="H120" s="19" t="s">
        <v>59</v>
      </c>
      <c r="I120" s="31" t="s">
        <v>118</v>
      </c>
    </row>
    <row r="121" customFormat="false" ht="15" hidden="false" customHeight="false" outlineLevel="0" collapsed="false">
      <c r="A121" s="33" t="s">
        <v>302</v>
      </c>
      <c r="B121" s="33" t="s">
        <v>303</v>
      </c>
      <c r="C121" s="34" t="s">
        <v>111</v>
      </c>
      <c r="D121" s="34" t="s">
        <v>62</v>
      </c>
      <c r="E121" s="34" t="s">
        <v>112</v>
      </c>
      <c r="F121" s="35" t="n">
        <v>1725418.87</v>
      </c>
      <c r="G121" s="33" t="s">
        <v>64</v>
      </c>
      <c r="H121" s="33" t="s">
        <v>59</v>
      </c>
      <c r="I121" s="34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28"/>
    <col collapsed="false" customWidth="true" hidden="false" outlineLevel="0" max="7" min="7" style="0" width="16"/>
    <col collapsed="false" customWidth="true" hidden="false" outlineLevel="0" max="9" min="8" style="0" width="14"/>
    <col collapsed="false" customWidth="true" hidden="false" outlineLevel="0" max="10" min="10" style="0" width="8"/>
    <col collapsed="false" customWidth="true" hidden="false" outlineLevel="0" max="13" min="12" style="0" width="14"/>
    <col collapsed="false" customWidth="true" hidden="false" outlineLevel="0" max="16" min="15" style="0" width="14"/>
  </cols>
  <sheetData>
    <row r="1" customFormat="false" ht="19.5" hidden="false" customHeight="true" outlineLevel="0" collapsed="false">
      <c r="A1" s="13" t="s">
        <v>26</v>
      </c>
      <c r="B1" s="13" t="s">
        <v>27</v>
      </c>
      <c r="C1" s="13" t="s">
        <v>304</v>
      </c>
      <c r="D1" s="13" t="s">
        <v>305</v>
      </c>
      <c r="E1" s="13" t="s">
        <v>13</v>
      </c>
      <c r="F1" s="13" t="s">
        <v>28</v>
      </c>
      <c r="G1" s="13" t="s">
        <v>29</v>
      </c>
      <c r="H1" s="13" t="s">
        <v>30</v>
      </c>
      <c r="I1" s="13" t="s">
        <v>306</v>
      </c>
      <c r="J1" s="13" t="s">
        <v>307</v>
      </c>
      <c r="L1" s="36" t="s">
        <v>308</v>
      </c>
      <c r="M1" s="36" t="s">
        <v>309</v>
      </c>
      <c r="O1" s="36" t="s">
        <v>310</v>
      </c>
      <c r="P1" s="36" t="s">
        <v>311</v>
      </c>
      <c r="R1" s="36" t="s">
        <v>312</v>
      </c>
      <c r="S1" s="36" t="s">
        <v>313</v>
      </c>
    </row>
    <row r="2" customFormat="false" ht="15" hidden="false" customHeight="false" outlineLevel="0" collapsed="false">
      <c r="A2" s="17" t="str">
        <f aca="false">Raw_Transactions!A2</f>
        <v>TXN-1001</v>
      </c>
      <c r="B2" s="17" t="str">
        <f aca="false">Raw_Transactions!B2</f>
        <v>05/04/2024</v>
      </c>
      <c r="C2" s="17" t="n">
        <f aca="false">IFERROR(VALUE(MID(Raw_Transactions!B2,4,2)),"")</f>
        <v>4</v>
      </c>
      <c r="D2" s="37" t="str">
        <f aca="false">IFERROR(xlookup(Raw_Transactions!C2,$L$2:$L$11,$M$2:$M$11,"Unknown"),"Unknown")</f>
        <v>Unknown</v>
      </c>
      <c r="E2" s="38" t="str">
        <f aca="false">Raw_Transactions!D2</f>
        <v>Salaries</v>
      </c>
      <c r="F2" s="38" t="str">
        <f aca="false">Raw_Transactions!E2</f>
        <v>Contract staff pay</v>
      </c>
      <c r="G2" s="39" t="n">
        <f aca="false">Raw_Transactions!F2</f>
        <v>1248506.49</v>
      </c>
      <c r="H2" s="17" t="str">
        <f aca="false">Raw_Transactions!G2</f>
        <v>Chukwu A.</v>
      </c>
      <c r="I2" s="40" t="str">
        <f aca="false">IFERROR(xlookup(Raw_Transactions!H2,$O$2:$O$6,$P$2:$P$6,"Unknown"),"Unknown")</f>
        <v>Unknown</v>
      </c>
      <c r="J2" s="17" t="str">
        <f aca="false">IF(C2&lt;=3,"Q1",IF(C2&lt;=6,"Q2",IF(C2&lt;=9,"Q3","Q4")))</f>
        <v>Q2</v>
      </c>
      <c r="L2" s="41" t="s">
        <v>16</v>
      </c>
      <c r="M2" s="41" t="s">
        <v>16</v>
      </c>
      <c r="O2" s="41" t="s">
        <v>37</v>
      </c>
      <c r="P2" s="41" t="s">
        <v>37</v>
      </c>
      <c r="R2" s="42" t="n">
        <v>1</v>
      </c>
      <c r="S2" s="42" t="s">
        <v>314</v>
      </c>
    </row>
    <row r="3" customFormat="false" ht="15" hidden="false" customHeight="false" outlineLevel="0" collapsed="false">
      <c r="A3" s="22" t="str">
        <f aca="false">Raw_Transactions!A3</f>
        <v>TXN-1002</v>
      </c>
      <c r="B3" s="22" t="str">
        <f aca="false">Raw_Transactions!B3</f>
        <v>20/09/2024</v>
      </c>
      <c r="C3" s="22" t="n">
        <f aca="false">IFERROR(VALUE(MID(Raw_Transactions!B3,4,2)),"")</f>
        <v>9</v>
      </c>
      <c r="D3" s="43" t="str">
        <f aca="false">IFERROR(xlookup(Raw_Transactions!C3,$L$2:$L$11,$M$2:$M$11,"Unknown"),"Unknown")</f>
        <v>Unknown</v>
      </c>
      <c r="E3" s="44" t="str">
        <f aca="false">Raw_Transactions!D3</f>
        <v>Salaries</v>
      </c>
      <c r="F3" s="44" t="str">
        <f aca="false">Raw_Transactions!E3</f>
        <v>Monthly staff salaries</v>
      </c>
      <c r="G3" s="45" t="n">
        <f aca="false">Raw_Transactions!F3</f>
        <v>995591.32</v>
      </c>
      <c r="H3" s="22" t="str">
        <f aca="false">Raw_Transactions!G3</f>
        <v>Chukwu A.</v>
      </c>
      <c r="I3" s="46" t="str">
        <f aca="false">IFERROR(xlookup(Raw_Transactions!H3,$O$2:$O$6,$P$2:$P$6,"Unknown"),"Unknown")</f>
        <v>Unknown</v>
      </c>
      <c r="J3" s="22" t="str">
        <f aca="false">IF(C3&lt;=3,"Q1",IF(C3&lt;=6,"Q2",IF(C3&lt;=9,"Q3","Q4")))</f>
        <v>Q3</v>
      </c>
      <c r="L3" s="41" t="s">
        <v>17</v>
      </c>
      <c r="M3" s="41" t="s">
        <v>17</v>
      </c>
      <c r="O3" s="41" t="s">
        <v>50</v>
      </c>
      <c r="P3" s="41" t="s">
        <v>37</v>
      </c>
      <c r="R3" s="42" t="n">
        <v>2</v>
      </c>
      <c r="S3" s="42" t="s">
        <v>315</v>
      </c>
    </row>
    <row r="4" customFormat="false" ht="15" hidden="false" customHeight="false" outlineLevel="0" collapsed="false">
      <c r="A4" s="17" t="str">
        <f aca="false">Raw_Transactions!A4</f>
        <v>TXN-1003</v>
      </c>
      <c r="B4" s="17" t="str">
        <f aca="false">Raw_Transactions!B4</f>
        <v>26/05/2024</v>
      </c>
      <c r="C4" s="17" t="n">
        <f aca="false">IFERROR(VALUE(MID(Raw_Transactions!B4,4,2)),"")</f>
        <v>5</v>
      </c>
      <c r="D4" s="37" t="str">
        <f aca="false">IFERROR(xlookup(Raw_Transactions!C4,$L$2:$L$11,$M$2:$M$11,"Unknown"),"Unknown")</f>
        <v>Unknown</v>
      </c>
      <c r="E4" s="38" t="str">
        <f aca="false">Raw_Transactions!D4</f>
        <v>Utilities</v>
      </c>
      <c r="F4" s="38" t="str">
        <f aca="false">Raw_Transactions!E4</f>
        <v>Electricity bill</v>
      </c>
      <c r="G4" s="39" t="n">
        <f aca="false">Raw_Transactions!F4</f>
        <v>2029702.57</v>
      </c>
      <c r="H4" s="17" t="str">
        <f aca="false">Raw_Transactions!G4</f>
        <v>Chukwu A.</v>
      </c>
      <c r="I4" s="40" t="str">
        <f aca="false">IFERROR(xlookup(Raw_Transactions!H4,$O$2:$O$6,$P$2:$P$6,"Unknown"),"Unknown")</f>
        <v>Unknown</v>
      </c>
      <c r="J4" s="17" t="str">
        <f aca="false">IF(C4&lt;=3,"Q1",IF(C4&lt;=6,"Q2",IF(C4&lt;=9,"Q3","Q4")))</f>
        <v>Q2</v>
      </c>
      <c r="L4" s="41" t="s">
        <v>18</v>
      </c>
      <c r="M4" s="41" t="s">
        <v>18</v>
      </c>
      <c r="O4" s="41" t="s">
        <v>102</v>
      </c>
      <c r="P4" s="41" t="s">
        <v>37</v>
      </c>
      <c r="R4" s="42" t="n">
        <v>3</v>
      </c>
      <c r="S4" s="42" t="s">
        <v>316</v>
      </c>
    </row>
    <row r="5" customFormat="false" ht="15" hidden="false" customHeight="false" outlineLevel="0" collapsed="false">
      <c r="A5" s="22" t="str">
        <f aca="false">Raw_Transactions!A5</f>
        <v>TXN-1004</v>
      </c>
      <c r="B5" s="22" t="str">
        <f aca="false">Raw_Transactions!B5</f>
        <v>04/06/2024</v>
      </c>
      <c r="C5" s="22" t="n">
        <f aca="false">IFERROR(VALUE(MID(Raw_Transactions!B5,4,2)),"")</f>
        <v>6</v>
      </c>
      <c r="D5" s="43" t="str">
        <f aca="false">IFERROR(xlookup(Raw_Transactions!C5,$L$2:$L$11,$M$2:$M$11,"Unknown"),"Unknown")</f>
        <v>Unknown</v>
      </c>
      <c r="E5" s="44" t="str">
        <f aca="false">Raw_Transactions!D5</f>
        <v>Training</v>
      </c>
      <c r="F5" s="44" t="str">
        <f aca="false">Raw_Transactions!E5</f>
        <v>Excel training workshop</v>
      </c>
      <c r="G5" s="45" t="n">
        <f aca="false">Raw_Transactions!F5</f>
        <v>980682.22</v>
      </c>
      <c r="H5" s="22" t="str">
        <f aca="false">Raw_Transactions!G5</f>
        <v>Chukwu A.</v>
      </c>
      <c r="I5" s="46" t="str">
        <f aca="false">IFERROR(xlookup(Raw_Transactions!H5,$O$2:$O$6,$P$2:$P$6,"Unknown"),"Unknown")</f>
        <v>Unknown</v>
      </c>
      <c r="J5" s="22" t="str">
        <f aca="false">IF(C5&lt;=3,"Q1",IF(C5&lt;=6,"Q2",IF(C5&lt;=9,"Q3","Q4")))</f>
        <v>Q2</v>
      </c>
      <c r="L5" s="41" t="s">
        <v>19</v>
      </c>
      <c r="M5" s="41" t="s">
        <v>19</v>
      </c>
      <c r="O5" s="41" t="s">
        <v>41</v>
      </c>
      <c r="P5" s="41" t="s">
        <v>41</v>
      </c>
      <c r="R5" s="42" t="n">
        <v>4</v>
      </c>
      <c r="S5" s="42" t="s">
        <v>317</v>
      </c>
    </row>
    <row r="6" customFormat="false" ht="15" hidden="false" customHeight="false" outlineLevel="0" collapsed="false">
      <c r="A6" s="17" t="str">
        <f aca="false">Raw_Transactions!A6</f>
        <v>TXN-1005</v>
      </c>
      <c r="B6" s="17" t="str">
        <f aca="false">Raw_Transactions!B6</f>
        <v>04/09/2024</v>
      </c>
      <c r="C6" s="17" t="n">
        <f aca="false">IFERROR(VALUE(MID(Raw_Transactions!B6,4,2)),"")</f>
        <v>9</v>
      </c>
      <c r="D6" s="37" t="str">
        <f aca="false">IFERROR(xlookup(Raw_Transactions!C6,$L$2:$L$11,$M$2:$M$11,"Unknown"),"Unknown")</f>
        <v>Unknown</v>
      </c>
      <c r="E6" s="38" t="str">
        <f aca="false">Raw_Transactions!D6</f>
        <v>Training</v>
      </c>
      <c r="F6" s="38" t="str">
        <f aca="false">Raw_Transactions!E6</f>
        <v>Excel training workshop</v>
      </c>
      <c r="G6" s="39" t="n">
        <f aca="false">Raw_Transactions!F6</f>
        <v>3287847.06</v>
      </c>
      <c r="H6" s="17" t="str">
        <f aca="false">Raw_Transactions!G6</f>
        <v>Nwachukwu F.</v>
      </c>
      <c r="I6" s="40" t="str">
        <f aca="false">IFERROR(xlookup(Raw_Transactions!H6,$O$2:$O$6,$P$2:$P$6,"Unknown"),"Unknown")</f>
        <v>Unknown</v>
      </c>
      <c r="J6" s="17" t="str">
        <f aca="false">IF(C6&lt;=3,"Q1",IF(C6&lt;=6,"Q2",IF(C6&lt;=9,"Q3","Q4")))</f>
        <v>Q3</v>
      </c>
      <c r="L6" s="41" t="s">
        <v>20</v>
      </c>
      <c r="M6" s="41" t="s">
        <v>20</v>
      </c>
      <c r="O6" s="41" t="s">
        <v>59</v>
      </c>
      <c r="P6" s="41" t="s">
        <v>59</v>
      </c>
      <c r="R6" s="42" t="n">
        <v>5</v>
      </c>
      <c r="S6" s="42" t="s">
        <v>318</v>
      </c>
    </row>
    <row r="7" customFormat="false" ht="15" hidden="false" customHeight="false" outlineLevel="0" collapsed="false">
      <c r="A7" s="22" t="str">
        <f aca="false">Raw_Transactions!A7</f>
        <v>TXN-1006</v>
      </c>
      <c r="B7" s="22" t="str">
        <f aca="false">Raw_Transactions!B7</f>
        <v>02/02/2024</v>
      </c>
      <c r="C7" s="22" t="n">
        <f aca="false">IFERROR(VALUE(MID(Raw_Transactions!B7,4,2)),"")</f>
        <v>2</v>
      </c>
      <c r="D7" s="43" t="str">
        <f aca="false">IFERROR(xlookup(Raw_Transactions!C7,$L$2:$L$11,$M$2:$M$11,"Unknown"),"Unknown")</f>
        <v>Unknown</v>
      </c>
      <c r="E7" s="44" t="str">
        <f aca="false">Raw_Transactions!D7</f>
        <v>Marketing</v>
      </c>
      <c r="F7" s="44" t="str">
        <f aca="false">Raw_Transactions!E7</f>
        <v>Brand design</v>
      </c>
      <c r="G7" s="45" t="n">
        <f aca="false">Raw_Transactions!F7</f>
        <v>877414.33</v>
      </c>
      <c r="H7" s="22" t="str">
        <f aca="false">Raw_Transactions!G7</f>
        <v>Bello R.</v>
      </c>
      <c r="I7" s="46" t="str">
        <f aca="false">IFERROR(xlookup(Raw_Transactions!H7,$O$2:$O$6,$P$2:$P$6,"Unknown"),"Unknown")</f>
        <v>Unknown</v>
      </c>
      <c r="J7" s="22" t="str">
        <f aca="false">IF(C7&lt;=3,"Q1",IF(C7&lt;=6,"Q2",IF(C7&lt;=9,"Q3","Q4")))</f>
        <v>Q1</v>
      </c>
      <c r="L7" s="41" t="s">
        <v>21</v>
      </c>
      <c r="M7" s="41" t="s">
        <v>21</v>
      </c>
      <c r="R7" s="42" t="n">
        <v>6</v>
      </c>
      <c r="S7" s="42" t="s">
        <v>319</v>
      </c>
    </row>
    <row r="8" customFormat="false" ht="15" hidden="false" customHeight="false" outlineLevel="0" collapsed="false">
      <c r="A8" s="17" t="str">
        <f aca="false">Raw_Transactions!A8</f>
        <v>TXN-1007</v>
      </c>
      <c r="B8" s="17" t="str">
        <f aca="false">Raw_Transactions!B8</f>
        <v>27/11/2024</v>
      </c>
      <c r="C8" s="17" t="n">
        <f aca="false">IFERROR(VALUE(MID(Raw_Transactions!B8,4,2)),"")</f>
        <v>11</v>
      </c>
      <c r="D8" s="37" t="str">
        <f aca="false">IFERROR(xlookup(Raw_Transactions!C8,$L$2:$L$11,$M$2:$M$11,"Unknown"),"Unknown")</f>
        <v>Unknown</v>
      </c>
      <c r="E8" s="38" t="str">
        <f aca="false">Raw_Transactions!D8</f>
        <v>Software Licenses</v>
      </c>
      <c r="F8" s="38" t="str">
        <f aca="false">Raw_Transactions!E8</f>
        <v>Antivirus subscription</v>
      </c>
      <c r="G8" s="39" t="n">
        <f aca="false">Raw_Transactions!F8</f>
        <v>1261711.61</v>
      </c>
      <c r="H8" s="17" t="str">
        <f aca="false">Raw_Transactions!G8</f>
        <v>Adeyemi T.</v>
      </c>
      <c r="I8" s="40" t="str">
        <f aca="false">IFERROR(xlookup(Raw_Transactions!H8,$O$2:$O$6,$P$2:$P$6,"Unknown"),"Unknown")</f>
        <v>Unknown</v>
      </c>
      <c r="J8" s="17" t="str">
        <f aca="false">IF(C8&lt;=3,"Q1",IF(C8&lt;=6,"Q2",IF(C8&lt;=9,"Q3","Q4")))</f>
        <v>Q4</v>
      </c>
      <c r="L8" s="41" t="s">
        <v>91</v>
      </c>
      <c r="M8" s="41" t="s">
        <v>17</v>
      </c>
      <c r="R8" s="42" t="n">
        <v>7</v>
      </c>
      <c r="S8" s="42" t="s">
        <v>320</v>
      </c>
    </row>
    <row r="9" customFormat="false" ht="15" hidden="false" customHeight="false" outlineLevel="0" collapsed="false">
      <c r="A9" s="22" t="str">
        <f aca="false">Raw_Transactions!A9</f>
        <v>TXN-1008</v>
      </c>
      <c r="B9" s="22" t="str">
        <f aca="false">Raw_Transactions!B9</f>
        <v>03/11/2024</v>
      </c>
      <c r="C9" s="22" t="n">
        <f aca="false">IFERROR(VALUE(MID(Raw_Transactions!B9,4,2)),"")</f>
        <v>11</v>
      </c>
      <c r="D9" s="43" t="str">
        <f aca="false">IFERROR(xlookup(Raw_Transactions!C9,$L$2:$L$11,$M$2:$M$11,"Unknown"),"Unknown")</f>
        <v>Unknown</v>
      </c>
      <c r="E9" s="44" t="str">
        <f aca="false">Raw_Transactions!D9</f>
        <v>Training</v>
      </c>
      <c r="F9" s="44" t="str">
        <f aca="false">Raw_Transactions!E9</f>
        <v>PMP certification</v>
      </c>
      <c r="G9" s="45" t="n">
        <f aca="false">Raw_Transactions!F9</f>
        <v>4215895.83</v>
      </c>
      <c r="H9" s="22" t="str">
        <f aca="false">Raw_Transactions!G9</f>
        <v>Okafor M.</v>
      </c>
      <c r="I9" s="46" t="str">
        <f aca="false">IFERROR(xlookup(Raw_Transactions!H9,$O$2:$O$6,$P$2:$P$6,"Unknown"),"Unknown")</f>
        <v>Unknown</v>
      </c>
      <c r="J9" s="22" t="str">
        <f aca="false">IF(C9&lt;=3,"Q1",IF(C9&lt;=6,"Q2",IF(C9&lt;=9,"Q3","Q4")))</f>
        <v>Q4</v>
      </c>
      <c r="L9" s="41" t="s">
        <v>111</v>
      </c>
      <c r="M9" s="41" t="s">
        <v>16</v>
      </c>
      <c r="R9" s="42" t="n">
        <v>8</v>
      </c>
      <c r="S9" s="42" t="s">
        <v>321</v>
      </c>
    </row>
    <row r="10" customFormat="false" ht="15" hidden="false" customHeight="false" outlineLevel="0" collapsed="false">
      <c r="A10" s="17" t="str">
        <f aca="false">Raw_Transactions!A10</f>
        <v>TXN-1009</v>
      </c>
      <c r="B10" s="17" t="str">
        <f aca="false">Raw_Transactions!B10</f>
        <v>23/11/2024</v>
      </c>
      <c r="C10" s="17" t="n">
        <f aca="false">IFERROR(VALUE(MID(Raw_Transactions!B10,4,2)),"")</f>
        <v>11</v>
      </c>
      <c r="D10" s="37" t="str">
        <f aca="false">IFERROR(xlookup(Raw_Transactions!C10,$L$2:$L$11,$M$2:$M$11,"Unknown"),"Unknown")</f>
        <v>Unknown</v>
      </c>
      <c r="E10" s="38" t="str">
        <f aca="false">Raw_Transactions!D10</f>
        <v>Travel &amp; Transport</v>
      </c>
      <c r="F10" s="38" t="str">
        <f aca="false">Raw_Transactions!E10</f>
        <v>Airport transfer</v>
      </c>
      <c r="G10" s="39" t="n">
        <f aca="false">Raw_Transactions!F10</f>
        <v>1716857.66</v>
      </c>
      <c r="H10" s="17" t="str">
        <f aca="false">Raw_Transactions!G10</f>
        <v>Okafor M.</v>
      </c>
      <c r="I10" s="40" t="str">
        <f aca="false">IFERROR(xlookup(Raw_Transactions!H10,$O$2:$O$6,$P$2:$P$6,"Unknown"),"Unknown")</f>
        <v>Unknown</v>
      </c>
      <c r="J10" s="17" t="str">
        <f aca="false">IF(C10&lt;=3,"Q1",IF(C10&lt;=6,"Q2",IF(C10&lt;=9,"Q3","Q4")))</f>
        <v>Q4</v>
      </c>
      <c r="L10" s="41" t="s">
        <v>18</v>
      </c>
      <c r="M10" s="41" t="s">
        <v>18</v>
      </c>
      <c r="R10" s="42" t="n">
        <v>9</v>
      </c>
      <c r="S10" s="42" t="s">
        <v>322</v>
      </c>
    </row>
    <row r="11" customFormat="false" ht="15" hidden="false" customHeight="false" outlineLevel="0" collapsed="false">
      <c r="A11" s="22" t="str">
        <f aca="false">Raw_Transactions!A11</f>
        <v>TXN-1010</v>
      </c>
      <c r="B11" s="22" t="str">
        <f aca="false">Raw_Transactions!B11</f>
        <v>09/07/2024</v>
      </c>
      <c r="C11" s="22" t="n">
        <f aca="false">IFERROR(VALUE(MID(Raw_Transactions!B11,4,2)),"")</f>
        <v>7</v>
      </c>
      <c r="D11" s="43" t="str">
        <f aca="false">IFERROR(xlookup(Raw_Transactions!C11,$L$2:$L$11,$M$2:$M$11,"Unknown"),"Unknown")</f>
        <v>Unknown</v>
      </c>
      <c r="E11" s="44" t="str">
        <f aca="false">Raw_Transactions!D11</f>
        <v>Office Supplies</v>
      </c>
      <c r="F11" s="44" t="str">
        <f aca="false">Raw_Transactions!E11</f>
        <v>Printer cartridges</v>
      </c>
      <c r="G11" s="45" t="n">
        <f aca="false">Raw_Transactions!F11</f>
        <v>3625630.42</v>
      </c>
      <c r="H11" s="22" t="str">
        <f aca="false">Raw_Transactions!G11</f>
        <v>Chukwu A.</v>
      </c>
      <c r="I11" s="46" t="str">
        <f aca="false">IFERROR(xlookup(Raw_Transactions!H11,$O$2:$O$6,$P$2:$P$6,"Unknown"),"Unknown")</f>
        <v>Unknown</v>
      </c>
      <c r="J11" s="22" t="str">
        <f aca="false">IF(C11&lt;=3,"Q1",IF(C11&lt;=6,"Q2",IF(C11&lt;=9,"Q3","Q4")))</f>
        <v>Q3</v>
      </c>
      <c r="L11" s="41" t="s">
        <v>20</v>
      </c>
      <c r="M11" s="41" t="s">
        <v>20</v>
      </c>
      <c r="R11" s="42" t="n">
        <v>10</v>
      </c>
      <c r="S11" s="42" t="s">
        <v>323</v>
      </c>
    </row>
    <row r="12" customFormat="false" ht="15" hidden="false" customHeight="false" outlineLevel="0" collapsed="false">
      <c r="A12" s="17" t="str">
        <f aca="false">Raw_Transactions!A12</f>
        <v>TXN-1011</v>
      </c>
      <c r="B12" s="17" t="str">
        <f aca="false">Raw_Transactions!B12</f>
        <v>21/07/2024</v>
      </c>
      <c r="C12" s="17" t="n">
        <f aca="false">IFERROR(VALUE(MID(Raw_Transactions!B12,4,2)),"")</f>
        <v>7</v>
      </c>
      <c r="D12" s="37" t="str">
        <f aca="false">IFERROR(xlookup(Raw_Transactions!C12,$L$2:$L$11,$M$2:$M$11,"Unknown"),"Unknown")</f>
        <v>Unknown</v>
      </c>
      <c r="E12" s="38" t="str">
        <f aca="false">Raw_Transactions!D12</f>
        <v>Marketing</v>
      </c>
      <c r="F12" s="38" t="str">
        <f aca="false">Raw_Transactions!E12</f>
        <v>Social media ads</v>
      </c>
      <c r="G12" s="39" t="n">
        <f aca="false">Raw_Transactions!F12</f>
        <v>2954642.41</v>
      </c>
      <c r="H12" s="17" t="str">
        <f aca="false">Raw_Transactions!G12</f>
        <v>Nwachukwu F.</v>
      </c>
      <c r="I12" s="40" t="str">
        <f aca="false">IFERROR(xlookup(Raw_Transactions!H12,$O$2:$O$6,$P$2:$P$6,"Unknown"),"Unknown")</f>
        <v>Unknown</v>
      </c>
      <c r="J12" s="17" t="str">
        <f aca="false">IF(C12&lt;=3,"Q1",IF(C12&lt;=6,"Q2",IF(C12&lt;=9,"Q3","Q4")))</f>
        <v>Q3</v>
      </c>
      <c r="R12" s="42" t="n">
        <v>11</v>
      </c>
      <c r="S12" s="42" t="s">
        <v>324</v>
      </c>
    </row>
    <row r="13" customFormat="false" ht="15" hidden="false" customHeight="false" outlineLevel="0" collapsed="false">
      <c r="A13" s="22" t="str">
        <f aca="false">Raw_Transactions!A13</f>
        <v>TXN-1012</v>
      </c>
      <c r="B13" s="22" t="str">
        <f aca="false">Raw_Transactions!B13</f>
        <v>19/07/2024</v>
      </c>
      <c r="C13" s="22" t="n">
        <f aca="false">IFERROR(VALUE(MID(Raw_Transactions!B13,4,2)),"")</f>
        <v>7</v>
      </c>
      <c r="D13" s="43" t="str">
        <f aca="false">IFERROR(xlookup(Raw_Transactions!C13,$L$2:$L$11,$M$2:$M$11,"Unknown"),"Unknown")</f>
        <v>Unknown</v>
      </c>
      <c r="E13" s="44" t="str">
        <f aca="false">Raw_Transactions!D13</f>
        <v>Equipment</v>
      </c>
      <c r="F13" s="44" t="str">
        <f aca="false">Raw_Transactions!E13</f>
        <v>Projector</v>
      </c>
      <c r="G13" s="45" t="n">
        <f aca="false">Raw_Transactions!F13</f>
        <v>3365356.95</v>
      </c>
      <c r="H13" s="22" t="str">
        <f aca="false">Raw_Transactions!G13</f>
        <v>Nwachukwu F.</v>
      </c>
      <c r="I13" s="46" t="str">
        <f aca="false">IFERROR(xlookup(Raw_Transactions!H13,$O$2:$O$6,$P$2:$P$6,"Unknown"),"Unknown")</f>
        <v>Unknown</v>
      </c>
      <c r="J13" s="22" t="str">
        <f aca="false">IF(C13&lt;=3,"Q1",IF(C13&lt;=6,"Q2",IF(C13&lt;=9,"Q3","Q4")))</f>
        <v>Q3</v>
      </c>
      <c r="R13" s="42" t="n">
        <v>12</v>
      </c>
      <c r="S13" s="42" t="s">
        <v>325</v>
      </c>
    </row>
    <row r="14" customFormat="false" ht="15" hidden="false" customHeight="false" outlineLevel="0" collapsed="false">
      <c r="A14" s="17" t="str">
        <f aca="false">Raw_Transactions!A14</f>
        <v>TXN-1013</v>
      </c>
      <c r="B14" s="17" t="str">
        <f aca="false">Raw_Transactions!B14</f>
        <v>05/02/2024</v>
      </c>
      <c r="C14" s="17" t="n">
        <f aca="false">IFERROR(VALUE(MID(Raw_Transactions!B14,4,2)),"")</f>
        <v>2</v>
      </c>
      <c r="D14" s="37" t="str">
        <f aca="false">IFERROR(xlookup(Raw_Transactions!C14,$L$2:$L$11,$M$2:$M$11,"Unknown"),"Unknown")</f>
        <v>Unknown</v>
      </c>
      <c r="E14" s="38" t="str">
        <f aca="false">Raw_Transactions!D14</f>
        <v>Consulting Fees</v>
      </c>
      <c r="F14" s="38" t="str">
        <f aca="false">Raw_Transactions!E14</f>
        <v>IT audit consultant</v>
      </c>
      <c r="G14" s="39" t="n">
        <f aca="false">Raw_Transactions!F14</f>
        <v>3404682.98</v>
      </c>
      <c r="H14" s="17" t="str">
        <f aca="false">Raw_Transactions!G14</f>
        <v>Bello R.</v>
      </c>
      <c r="I14" s="40" t="str">
        <f aca="false">IFERROR(xlookup(Raw_Transactions!H14,$O$2:$O$6,$P$2:$P$6,"Unknown"),"Unknown")</f>
        <v>Unknown</v>
      </c>
      <c r="J14" s="17" t="str">
        <f aca="false">IF(C14&lt;=3,"Q1",IF(C14&lt;=6,"Q2",IF(C14&lt;=9,"Q3","Q4")))</f>
        <v>Q1</v>
      </c>
    </row>
    <row r="15" customFormat="false" ht="15" hidden="false" customHeight="false" outlineLevel="0" collapsed="false">
      <c r="A15" s="22" t="str">
        <f aca="false">Raw_Transactions!A15</f>
        <v>TXN-1014</v>
      </c>
      <c r="B15" s="22" t="str">
        <f aca="false">Raw_Transactions!B15</f>
        <v>09/09/2024</v>
      </c>
      <c r="C15" s="22" t="n">
        <f aca="false">IFERROR(VALUE(MID(Raw_Transactions!B15,4,2)),"")</f>
        <v>9</v>
      </c>
      <c r="D15" s="43" t="str">
        <f aca="false">IFERROR(xlookup(Raw_Transactions!C15,$L$2:$L$11,$M$2:$M$11,"Unknown"),"Unknown")</f>
        <v>Unknown</v>
      </c>
      <c r="E15" s="44" t="str">
        <f aca="false">Raw_Transactions!D15</f>
        <v>Utilities</v>
      </c>
      <c r="F15" s="44" t="str">
        <f aca="false">Raw_Transactions!E15</f>
        <v>Generator maintenance</v>
      </c>
      <c r="G15" s="45" t="n">
        <f aca="false">Raw_Transactions!F15</f>
        <v>4482604.39</v>
      </c>
      <c r="H15" s="22" t="str">
        <f aca="false">Raw_Transactions!G15</f>
        <v>Okafor M.</v>
      </c>
      <c r="I15" s="46" t="str">
        <f aca="false">IFERROR(xlookup(Raw_Transactions!H15,$O$2:$O$6,$P$2:$P$6,"Unknown"),"Unknown")</f>
        <v>Unknown</v>
      </c>
      <c r="J15" s="22" t="str">
        <f aca="false">IF(C15&lt;=3,"Q1",IF(C15&lt;=6,"Q2",IF(C15&lt;=9,"Q3","Q4")))</f>
        <v>Q3</v>
      </c>
    </row>
    <row r="16" customFormat="false" ht="15" hidden="false" customHeight="false" outlineLevel="0" collapsed="false">
      <c r="A16" s="17" t="str">
        <f aca="false">Raw_Transactions!A16</f>
        <v>TXN-1015</v>
      </c>
      <c r="B16" s="17" t="str">
        <f aca="false">Raw_Transactions!B16</f>
        <v>04/06/2024</v>
      </c>
      <c r="C16" s="17" t="n">
        <f aca="false">IFERROR(VALUE(MID(Raw_Transactions!B16,4,2)),"")</f>
        <v>6</v>
      </c>
      <c r="D16" s="37" t="str">
        <f aca="false">IFERROR(xlookup(Raw_Transactions!C16,$L$2:$L$11,$M$2:$M$11,"Unknown"),"Unknown")</f>
        <v>Unknown</v>
      </c>
      <c r="E16" s="38" t="str">
        <f aca="false">Raw_Transactions!D16</f>
        <v>Equipment</v>
      </c>
      <c r="F16" s="38" t="str">
        <f aca="false">Raw_Transactions!E16</f>
        <v>Projector</v>
      </c>
      <c r="G16" s="39" t="n">
        <f aca="false">Raw_Transactions!F16</f>
        <v>3462165.32</v>
      </c>
      <c r="H16" s="17" t="str">
        <f aca="false">Raw_Transactions!G16</f>
        <v>Adeyemi T.</v>
      </c>
      <c r="I16" s="40" t="str">
        <f aca="false">IFERROR(xlookup(Raw_Transactions!H16,$O$2:$O$6,$P$2:$P$6,"Unknown"),"Unknown")</f>
        <v>Unknown</v>
      </c>
      <c r="J16" s="17" t="str">
        <f aca="false">IF(C16&lt;=3,"Q1",IF(C16&lt;=6,"Q2",IF(C16&lt;=9,"Q3","Q4")))</f>
        <v>Q2</v>
      </c>
    </row>
    <row r="17" customFormat="false" ht="15" hidden="false" customHeight="false" outlineLevel="0" collapsed="false">
      <c r="A17" s="22" t="str">
        <f aca="false">Raw_Transactions!A17</f>
        <v>TXN-1016</v>
      </c>
      <c r="B17" s="22" t="str">
        <f aca="false">Raw_Transactions!B17</f>
        <v>28/02/2024</v>
      </c>
      <c r="C17" s="22" t="n">
        <f aca="false">IFERROR(VALUE(MID(Raw_Transactions!B17,4,2)),"")</f>
        <v>2</v>
      </c>
      <c r="D17" s="43" t="str">
        <f aca="false">IFERROR(xlookup(Raw_Transactions!C17,$L$2:$L$11,$M$2:$M$11,"Unknown"),"Unknown")</f>
        <v>Unknown</v>
      </c>
      <c r="E17" s="44" t="str">
        <f aca="false">Raw_Transactions!D17</f>
        <v>Equipment</v>
      </c>
      <c r="F17" s="44" t="str">
        <f aca="false">Raw_Transactions!E17</f>
        <v>Laptop purchase</v>
      </c>
      <c r="G17" s="45" t="n">
        <f aca="false">Raw_Transactions!F17</f>
        <v>2291952.31</v>
      </c>
      <c r="H17" s="22" t="str">
        <f aca="false">Raw_Transactions!G17</f>
        <v>Adeyemi T.</v>
      </c>
      <c r="I17" s="46" t="str">
        <f aca="false">IFERROR(xlookup(Raw_Transactions!H17,$O$2:$O$6,$P$2:$P$6,"Unknown"),"Unknown")</f>
        <v>Unknown</v>
      </c>
      <c r="J17" s="22" t="str">
        <f aca="false">IF(C17&lt;=3,"Q1",IF(C17&lt;=6,"Q2",IF(C17&lt;=9,"Q3","Q4")))</f>
        <v>Q1</v>
      </c>
    </row>
    <row r="18" customFormat="false" ht="15" hidden="false" customHeight="false" outlineLevel="0" collapsed="false">
      <c r="A18" s="17" t="str">
        <f aca="false">Raw_Transactions!A18</f>
        <v>TXN-1017</v>
      </c>
      <c r="B18" s="17" t="str">
        <f aca="false">Raw_Transactions!B18</f>
        <v>01/08/2024</v>
      </c>
      <c r="C18" s="17" t="n">
        <f aca="false">IFERROR(VALUE(MID(Raw_Transactions!B18,4,2)),"")</f>
        <v>8</v>
      </c>
      <c r="D18" s="37" t="str">
        <f aca="false">IFERROR(xlookup(Raw_Transactions!C18,$L$2:$L$11,$M$2:$M$11,"Unknown"),"Unknown")</f>
        <v>Unknown</v>
      </c>
      <c r="E18" s="38" t="str">
        <f aca="false">Raw_Transactions!D18</f>
        <v>Equipment</v>
      </c>
      <c r="F18" s="38" t="str">
        <f aca="false">Raw_Transactions!E18</f>
        <v>Laptop purchase</v>
      </c>
      <c r="G18" s="39" t="n">
        <f aca="false">Raw_Transactions!F18</f>
        <v>2701266.46</v>
      </c>
      <c r="H18" s="17" t="str">
        <f aca="false">Raw_Transactions!G18</f>
        <v>Chukwu A.</v>
      </c>
      <c r="I18" s="40" t="str">
        <f aca="false">IFERROR(xlookup(Raw_Transactions!H18,$O$2:$O$6,$P$2:$P$6,"Unknown"),"Unknown")</f>
        <v>Unknown</v>
      </c>
      <c r="J18" s="17" t="str">
        <f aca="false">IF(C18&lt;=3,"Q1",IF(C18&lt;=6,"Q2",IF(C18&lt;=9,"Q3","Q4")))</f>
        <v>Q3</v>
      </c>
    </row>
    <row r="19" customFormat="false" ht="15" hidden="false" customHeight="false" outlineLevel="0" collapsed="false">
      <c r="A19" s="22" t="str">
        <f aca="false">Raw_Transactions!A19</f>
        <v>TXN-1018</v>
      </c>
      <c r="B19" s="22" t="str">
        <f aca="false">Raw_Transactions!B19</f>
        <v>03/10/2024</v>
      </c>
      <c r="C19" s="22" t="n">
        <f aca="false">IFERROR(VALUE(MID(Raw_Transactions!B19,4,2)),"")</f>
        <v>10</v>
      </c>
      <c r="D19" s="43" t="str">
        <f aca="false">IFERROR(xlookup(Raw_Transactions!C19,$L$2:$L$11,$M$2:$M$11,"Unknown"),"Unknown")</f>
        <v>Unknown</v>
      </c>
      <c r="E19" s="44" t="str">
        <f aca="false">Raw_Transactions!D19</f>
        <v>Office Supplies</v>
      </c>
      <c r="F19" s="44" t="str">
        <f aca="false">Raw_Transactions!E19</f>
        <v>Printer cartridges</v>
      </c>
      <c r="G19" s="45" t="n">
        <f aca="false">Raw_Transactions!F19</f>
        <v>1095309.09</v>
      </c>
      <c r="H19" s="22" t="str">
        <f aca="false">Raw_Transactions!G19</f>
        <v>Chukwu A.</v>
      </c>
      <c r="I19" s="46" t="str">
        <f aca="false">IFERROR(xlookup(Raw_Transactions!H19,$O$2:$O$6,$P$2:$P$6,"Unknown"),"Unknown")</f>
        <v>Unknown</v>
      </c>
      <c r="J19" s="22" t="str">
        <f aca="false">IF(C19&lt;=3,"Q1",IF(C19&lt;=6,"Q2",IF(C19&lt;=9,"Q3","Q4")))</f>
        <v>Q4</v>
      </c>
    </row>
    <row r="20" customFormat="false" ht="15" hidden="false" customHeight="false" outlineLevel="0" collapsed="false">
      <c r="A20" s="17" t="str">
        <f aca="false">Raw_Transactions!A20</f>
        <v>TXN-1019</v>
      </c>
      <c r="B20" s="17" t="str">
        <f aca="false">Raw_Transactions!B20</f>
        <v>06/09/2024</v>
      </c>
      <c r="C20" s="17" t="n">
        <f aca="false">IFERROR(VALUE(MID(Raw_Transactions!B20,4,2)),"")</f>
        <v>9</v>
      </c>
      <c r="D20" s="37" t="str">
        <f aca="false">IFERROR(xlookup(Raw_Transactions!C20,$L$2:$L$11,$M$2:$M$11,"Unknown"),"Unknown")</f>
        <v>Unknown</v>
      </c>
      <c r="E20" s="38" t="str">
        <f aca="false">Raw_Transactions!D20</f>
        <v>Travel &amp; Transport</v>
      </c>
      <c r="F20" s="38" t="str">
        <f aca="false">Raw_Transactions!E20</f>
        <v>Client visit – Abuja</v>
      </c>
      <c r="G20" s="39" t="n">
        <f aca="false">Raw_Transactions!F20</f>
        <v>2973982.44</v>
      </c>
      <c r="H20" s="17" t="str">
        <f aca="false">Raw_Transactions!G20</f>
        <v>Adeyemi T.</v>
      </c>
      <c r="I20" s="40" t="str">
        <f aca="false">IFERROR(xlookup(Raw_Transactions!H20,$O$2:$O$6,$P$2:$P$6,"Unknown"),"Unknown")</f>
        <v>Unknown</v>
      </c>
      <c r="J20" s="17" t="str">
        <f aca="false">IF(C20&lt;=3,"Q1",IF(C20&lt;=6,"Q2",IF(C20&lt;=9,"Q3","Q4")))</f>
        <v>Q3</v>
      </c>
    </row>
    <row r="21" customFormat="false" ht="15" hidden="false" customHeight="false" outlineLevel="0" collapsed="false">
      <c r="A21" s="22" t="str">
        <f aca="false">Raw_Transactions!A21</f>
        <v>TXN-1020</v>
      </c>
      <c r="B21" s="22" t="str">
        <f aca="false">Raw_Transactions!B21</f>
        <v>21/11/2024</v>
      </c>
      <c r="C21" s="22" t="n">
        <f aca="false">IFERROR(VALUE(MID(Raw_Transactions!B21,4,2)),"")</f>
        <v>11</v>
      </c>
      <c r="D21" s="43" t="str">
        <f aca="false">IFERROR(xlookup(Raw_Transactions!C21,$L$2:$L$11,$M$2:$M$11,"Unknown"),"Unknown")</f>
        <v>Unknown</v>
      </c>
      <c r="E21" s="44" t="str">
        <f aca="false">Raw_Transactions!D21</f>
        <v>Office Supplies</v>
      </c>
      <c r="F21" s="44" t="str">
        <f aca="false">Raw_Transactions!E21</f>
        <v>Office furniture</v>
      </c>
      <c r="G21" s="45" t="n">
        <f aca="false">Raw_Transactions!F21</f>
        <v>1413047.57</v>
      </c>
      <c r="H21" s="22" t="str">
        <f aca="false">Raw_Transactions!G21</f>
        <v>Adeyemi T.</v>
      </c>
      <c r="I21" s="46" t="str">
        <f aca="false">IFERROR(xlookup(Raw_Transactions!H21,$O$2:$O$6,$P$2:$P$6,"Unknown"),"Unknown")</f>
        <v>Unknown</v>
      </c>
      <c r="J21" s="22" t="str">
        <f aca="false">IF(C21&lt;=3,"Q1",IF(C21&lt;=6,"Q2",IF(C21&lt;=9,"Q3","Q4")))</f>
        <v>Q4</v>
      </c>
    </row>
    <row r="22" customFormat="false" ht="15" hidden="false" customHeight="false" outlineLevel="0" collapsed="false">
      <c r="A22" s="17" t="str">
        <f aca="false">Raw_Transactions!A22</f>
        <v>TXN-1021</v>
      </c>
      <c r="B22" s="17" t="str">
        <f aca="false">Raw_Transactions!B22</f>
        <v>01/06/2024</v>
      </c>
      <c r="C22" s="17" t="n">
        <f aca="false">IFERROR(VALUE(MID(Raw_Transactions!B22,4,2)),"")</f>
        <v>6</v>
      </c>
      <c r="D22" s="37" t="str">
        <f aca="false">IFERROR(xlookup(Raw_Transactions!C22,$L$2:$L$11,$M$2:$M$11,"Unknown"),"Unknown")</f>
        <v>Unknown</v>
      </c>
      <c r="E22" s="38" t="str">
        <f aca="false">Raw_Transactions!D22</f>
        <v>Software Licenses</v>
      </c>
      <c r="F22" s="38" t="str">
        <f aca="false">Raw_Transactions!E22</f>
        <v>Microsoft 365 renewal</v>
      </c>
      <c r="G22" s="39" t="n">
        <f aca="false">Raw_Transactions!F22</f>
        <v>1022767.56</v>
      </c>
      <c r="H22" s="17" t="str">
        <f aca="false">Raw_Transactions!G22</f>
        <v>Okafor M.</v>
      </c>
      <c r="I22" s="40" t="str">
        <f aca="false">IFERROR(xlookup(Raw_Transactions!H22,$O$2:$O$6,$P$2:$P$6,"Unknown"),"Unknown")</f>
        <v>Unknown</v>
      </c>
      <c r="J22" s="17" t="str">
        <f aca="false">IF(C22&lt;=3,"Q1",IF(C22&lt;=6,"Q2",IF(C22&lt;=9,"Q3","Q4")))</f>
        <v>Q2</v>
      </c>
    </row>
    <row r="23" customFormat="false" ht="15" hidden="false" customHeight="false" outlineLevel="0" collapsed="false">
      <c r="A23" s="22" t="str">
        <f aca="false">Raw_Transactions!A23</f>
        <v>TXN-1022</v>
      </c>
      <c r="B23" s="22" t="str">
        <f aca="false">Raw_Transactions!B23</f>
        <v>03/04/2024</v>
      </c>
      <c r="C23" s="22" t="n">
        <f aca="false">IFERROR(VALUE(MID(Raw_Transactions!B23,4,2)),"")</f>
        <v>4</v>
      </c>
      <c r="D23" s="43" t="str">
        <f aca="false">IFERROR(xlookup(Raw_Transactions!C23,$L$2:$L$11,$M$2:$M$11,"Unknown"),"Unknown")</f>
        <v>Unknown</v>
      </c>
      <c r="E23" s="44" t="str">
        <f aca="false">Raw_Transactions!D23</f>
        <v>Software Licenses</v>
      </c>
      <c r="F23" s="44" t="str">
        <f aca="false">Raw_Transactions!E23</f>
        <v>Accounting software</v>
      </c>
      <c r="G23" s="45" t="n">
        <f aca="false">Raw_Transactions!F23</f>
        <v>2845496.76</v>
      </c>
      <c r="H23" s="22" t="str">
        <f aca="false">Raw_Transactions!G23</f>
        <v>Chukwu A.</v>
      </c>
      <c r="I23" s="46" t="str">
        <f aca="false">IFERROR(xlookup(Raw_Transactions!H23,$O$2:$O$6,$P$2:$P$6,"Unknown"),"Unknown")</f>
        <v>Unknown</v>
      </c>
      <c r="J23" s="22" t="str">
        <f aca="false">IF(C23&lt;=3,"Q1",IF(C23&lt;=6,"Q2",IF(C23&lt;=9,"Q3","Q4")))</f>
        <v>Q2</v>
      </c>
    </row>
    <row r="24" customFormat="false" ht="15" hidden="false" customHeight="false" outlineLevel="0" collapsed="false">
      <c r="A24" s="17" t="str">
        <f aca="false">Raw_Transactions!A24</f>
        <v>TXN-1023</v>
      </c>
      <c r="B24" s="17" t="str">
        <f aca="false">Raw_Transactions!B24</f>
        <v>19/12/2024</v>
      </c>
      <c r="C24" s="17" t="n">
        <f aca="false">IFERROR(VALUE(MID(Raw_Transactions!B24,4,2)),"")</f>
        <v>12</v>
      </c>
      <c r="D24" s="37" t="str">
        <f aca="false">IFERROR(xlookup(Raw_Transactions!C24,$L$2:$L$11,$M$2:$M$11,"Unknown"),"Unknown")</f>
        <v>Unknown</v>
      </c>
      <c r="E24" s="38" t="str">
        <f aca="false">Raw_Transactions!D24</f>
        <v>Consulting Fees</v>
      </c>
      <c r="F24" s="38" t="str">
        <f aca="false">Raw_Transactions!E24</f>
        <v>IT audit consultant</v>
      </c>
      <c r="G24" s="39" t="n">
        <f aca="false">Raw_Transactions!F24</f>
        <v>2433464.18</v>
      </c>
      <c r="H24" s="17" t="str">
        <f aca="false">Raw_Transactions!G24</f>
        <v>Okafor M.</v>
      </c>
      <c r="I24" s="40" t="str">
        <f aca="false">IFERROR(xlookup(Raw_Transactions!H24,$O$2:$O$6,$P$2:$P$6,"Unknown"),"Unknown")</f>
        <v>Unknown</v>
      </c>
      <c r="J24" s="17" t="str">
        <f aca="false">IF(C24&lt;=3,"Q1",IF(C24&lt;=6,"Q2",IF(C24&lt;=9,"Q3","Q4")))</f>
        <v>Q4</v>
      </c>
    </row>
    <row r="25" customFormat="false" ht="15" hidden="false" customHeight="false" outlineLevel="0" collapsed="false">
      <c r="A25" s="22" t="str">
        <f aca="false">Raw_Transactions!A25</f>
        <v>TXN-1024</v>
      </c>
      <c r="B25" s="22" t="str">
        <f aca="false">Raw_Transactions!B25</f>
        <v>12/07/2024</v>
      </c>
      <c r="C25" s="22" t="n">
        <f aca="false">IFERROR(VALUE(MID(Raw_Transactions!B25,4,2)),"")</f>
        <v>7</v>
      </c>
      <c r="D25" s="43" t="str">
        <f aca="false">IFERROR(xlookup(Raw_Transactions!C25,$L$2:$L$11,$M$2:$M$11,"Unknown"),"Unknown")</f>
        <v>Unknown</v>
      </c>
      <c r="E25" s="44" t="str">
        <f aca="false">Raw_Transactions!D25</f>
        <v>Office Supplies</v>
      </c>
      <c r="F25" s="44" t="str">
        <f aca="false">Raw_Transactions!E25</f>
        <v>Printer cartridges</v>
      </c>
      <c r="G25" s="45" t="n">
        <f aca="false">Raw_Transactions!F25</f>
        <v>449734.7</v>
      </c>
      <c r="H25" s="22" t="str">
        <f aca="false">Raw_Transactions!G25</f>
        <v>Nwachukwu F.</v>
      </c>
      <c r="I25" s="46" t="str">
        <f aca="false">IFERROR(xlookup(Raw_Transactions!H25,$O$2:$O$6,$P$2:$P$6,"Unknown"),"Unknown")</f>
        <v>Unknown</v>
      </c>
      <c r="J25" s="22" t="str">
        <f aca="false">IF(C25&lt;=3,"Q1",IF(C25&lt;=6,"Q2",IF(C25&lt;=9,"Q3","Q4")))</f>
        <v>Q3</v>
      </c>
    </row>
    <row r="26" customFormat="false" ht="15" hidden="false" customHeight="false" outlineLevel="0" collapsed="false">
      <c r="A26" s="17" t="str">
        <f aca="false">Raw_Transactions!A26</f>
        <v>TXN-1025</v>
      </c>
      <c r="B26" s="17" t="str">
        <f aca="false">Raw_Transactions!B26</f>
        <v>26/06/2024</v>
      </c>
      <c r="C26" s="17" t="n">
        <f aca="false">IFERROR(VALUE(MID(Raw_Transactions!B26,4,2)),"")</f>
        <v>6</v>
      </c>
      <c r="D26" s="37" t="str">
        <f aca="false">IFERROR(xlookup(Raw_Transactions!C26,$L$2:$L$11,$M$2:$M$11,"Unknown"),"Unknown")</f>
        <v>Unknown</v>
      </c>
      <c r="E26" s="38" t="str">
        <f aca="false">Raw_Transactions!D26</f>
        <v>Software Licenses</v>
      </c>
      <c r="F26" s="38" t="str">
        <f aca="false">Raw_Transactions!E26</f>
        <v>Microsoft 365 renewal</v>
      </c>
      <c r="G26" s="39" t="n">
        <f aca="false">Raw_Transactions!F26</f>
        <v>1820756.45</v>
      </c>
      <c r="H26" s="17" t="str">
        <f aca="false">Raw_Transactions!G26</f>
        <v>Chukwu A.</v>
      </c>
      <c r="I26" s="40" t="str">
        <f aca="false">IFERROR(xlookup(Raw_Transactions!H26,$O$2:$O$6,$P$2:$P$6,"Unknown"),"Unknown")</f>
        <v>Unknown</v>
      </c>
      <c r="J26" s="17" t="str">
        <f aca="false">IF(C26&lt;=3,"Q1",IF(C26&lt;=6,"Q2",IF(C26&lt;=9,"Q3","Q4")))</f>
        <v>Q2</v>
      </c>
    </row>
    <row r="27" customFormat="false" ht="15" hidden="false" customHeight="false" outlineLevel="0" collapsed="false">
      <c r="A27" s="22" t="str">
        <f aca="false">Raw_Transactions!A27</f>
        <v>TXN-1026</v>
      </c>
      <c r="B27" s="22" t="str">
        <f aca="false">Raw_Transactions!B27</f>
        <v>28/04/2024</v>
      </c>
      <c r="C27" s="22" t="n">
        <f aca="false">IFERROR(VALUE(MID(Raw_Transactions!B27,4,2)),"")</f>
        <v>4</v>
      </c>
      <c r="D27" s="43" t="str">
        <f aca="false">IFERROR(xlookup(Raw_Transactions!C27,$L$2:$L$11,$M$2:$M$11,"Unknown"),"Unknown")</f>
        <v>Unknown</v>
      </c>
      <c r="E27" s="44" t="str">
        <f aca="false">Raw_Transactions!D27</f>
        <v>Utilities</v>
      </c>
      <c r="F27" s="44" t="str">
        <f aca="false">Raw_Transactions!E27</f>
        <v>Electricity bill</v>
      </c>
      <c r="G27" s="45" t="n">
        <f aca="false">Raw_Transactions!F27</f>
        <v>1264274.97</v>
      </c>
      <c r="H27" s="22" t="str">
        <f aca="false">Raw_Transactions!G27</f>
        <v>Chukwu A.</v>
      </c>
      <c r="I27" s="46" t="str">
        <f aca="false">IFERROR(xlookup(Raw_Transactions!H27,$O$2:$O$6,$P$2:$P$6,"Unknown"),"Unknown")</f>
        <v>Unknown</v>
      </c>
      <c r="J27" s="22" t="str">
        <f aca="false">IF(C27&lt;=3,"Q1",IF(C27&lt;=6,"Q2",IF(C27&lt;=9,"Q3","Q4")))</f>
        <v>Q2</v>
      </c>
    </row>
    <row r="28" customFormat="false" ht="15" hidden="false" customHeight="false" outlineLevel="0" collapsed="false">
      <c r="A28" s="17" t="str">
        <f aca="false">Raw_Transactions!A28</f>
        <v>TXN-1027</v>
      </c>
      <c r="B28" s="17" t="str">
        <f aca="false">Raw_Transactions!B28</f>
        <v>27/09/2024</v>
      </c>
      <c r="C28" s="17" t="n">
        <f aca="false">IFERROR(VALUE(MID(Raw_Transactions!B28,4,2)),"")</f>
        <v>9</v>
      </c>
      <c r="D28" s="37" t="str">
        <f aca="false">IFERROR(xlookup(Raw_Transactions!C28,$L$2:$L$11,$M$2:$M$11,"Unknown"),"Unknown")</f>
        <v>Unknown</v>
      </c>
      <c r="E28" s="38" t="str">
        <f aca="false">Raw_Transactions!D28</f>
        <v>Software Licenses</v>
      </c>
      <c r="F28" s="38" t="str">
        <f aca="false">Raw_Transactions!E28</f>
        <v>Microsoft 365 renewal</v>
      </c>
      <c r="G28" s="39" t="n">
        <f aca="false">Raw_Transactions!F28</f>
        <v>2939869.85</v>
      </c>
      <c r="H28" s="17" t="str">
        <f aca="false">Raw_Transactions!G28</f>
        <v>Chukwu A.</v>
      </c>
      <c r="I28" s="40" t="str">
        <f aca="false">IFERROR(xlookup(Raw_Transactions!H28,$O$2:$O$6,$P$2:$P$6,"Unknown"),"Unknown")</f>
        <v>Unknown</v>
      </c>
      <c r="J28" s="17" t="str">
        <f aca="false">IF(C28&lt;=3,"Q1",IF(C28&lt;=6,"Q2",IF(C28&lt;=9,"Q3","Q4")))</f>
        <v>Q3</v>
      </c>
    </row>
    <row r="29" customFormat="false" ht="15" hidden="false" customHeight="false" outlineLevel="0" collapsed="false">
      <c r="A29" s="22" t="str">
        <f aca="false">Raw_Transactions!A29</f>
        <v>TXN-1028</v>
      </c>
      <c r="B29" s="22" t="str">
        <f aca="false">Raw_Transactions!B29</f>
        <v>28/04/2024</v>
      </c>
      <c r="C29" s="22" t="n">
        <f aca="false">IFERROR(VALUE(MID(Raw_Transactions!B29,4,2)),"")</f>
        <v>4</v>
      </c>
      <c r="D29" s="43" t="str">
        <f aca="false">IFERROR(xlookup(Raw_Transactions!C29,$L$2:$L$11,$M$2:$M$11,"Unknown"),"Unknown")</f>
        <v>Unknown</v>
      </c>
      <c r="E29" s="44" t="str">
        <f aca="false">Raw_Transactions!D29</f>
        <v>Travel &amp; Transport</v>
      </c>
      <c r="F29" s="44" t="str">
        <f aca="false">Raw_Transactions!E29</f>
        <v>Airport transfer</v>
      </c>
      <c r="G29" s="45" t="n">
        <f aca="false">Raw_Transactions!F29</f>
        <v>2193100.45</v>
      </c>
      <c r="H29" s="22" t="str">
        <f aca="false">Raw_Transactions!G29</f>
        <v>Nwachukwu F.</v>
      </c>
      <c r="I29" s="46" t="str">
        <f aca="false">IFERROR(xlookup(Raw_Transactions!H29,$O$2:$O$6,$P$2:$P$6,"Unknown"),"Unknown")</f>
        <v>Unknown</v>
      </c>
      <c r="J29" s="22" t="str">
        <f aca="false">IF(C29&lt;=3,"Q1",IF(C29&lt;=6,"Q2",IF(C29&lt;=9,"Q3","Q4")))</f>
        <v>Q2</v>
      </c>
    </row>
    <row r="30" customFormat="false" ht="15" hidden="false" customHeight="false" outlineLevel="0" collapsed="false">
      <c r="A30" s="17" t="str">
        <f aca="false">Raw_Transactions!A30</f>
        <v>TXN-1029</v>
      </c>
      <c r="B30" s="17" t="str">
        <f aca="false">Raw_Transactions!B30</f>
        <v>24/12/2024</v>
      </c>
      <c r="C30" s="17" t="n">
        <f aca="false">IFERROR(VALUE(MID(Raw_Transactions!B30,4,2)),"")</f>
        <v>12</v>
      </c>
      <c r="D30" s="37" t="str">
        <f aca="false">IFERROR(xlookup(Raw_Transactions!C30,$L$2:$L$11,$M$2:$M$11,"Unknown"),"Unknown")</f>
        <v>Unknown</v>
      </c>
      <c r="E30" s="38" t="str">
        <f aca="false">Raw_Transactions!D30</f>
        <v>Training</v>
      </c>
      <c r="F30" s="38" t="str">
        <f aca="false">Raw_Transactions!E30</f>
        <v>Data analytics course</v>
      </c>
      <c r="G30" s="39" t="n">
        <f aca="false">Raw_Transactions!F30</f>
        <v>1294342.79</v>
      </c>
      <c r="H30" s="17" t="str">
        <f aca="false">Raw_Transactions!G30</f>
        <v>Okafor M.</v>
      </c>
      <c r="I30" s="40" t="str">
        <f aca="false">IFERROR(xlookup(Raw_Transactions!H30,$O$2:$O$6,$P$2:$P$6,"Unknown"),"Unknown")</f>
        <v>Unknown</v>
      </c>
      <c r="J30" s="17" t="str">
        <f aca="false">IF(C30&lt;=3,"Q1",IF(C30&lt;=6,"Q2",IF(C30&lt;=9,"Q3","Q4")))</f>
        <v>Q4</v>
      </c>
    </row>
    <row r="31" customFormat="false" ht="15" hidden="false" customHeight="false" outlineLevel="0" collapsed="false">
      <c r="A31" s="22" t="str">
        <f aca="false">Raw_Transactions!A31</f>
        <v>TXN-1030</v>
      </c>
      <c r="B31" s="22" t="str">
        <f aca="false">Raw_Transactions!B31</f>
        <v>24/01/2024</v>
      </c>
      <c r="C31" s="22" t="n">
        <f aca="false">IFERROR(VALUE(MID(Raw_Transactions!B31,4,2)),"")</f>
        <v>1</v>
      </c>
      <c r="D31" s="43" t="str">
        <f aca="false">IFERROR(xlookup(Raw_Transactions!C31,$L$2:$L$11,$M$2:$M$11,"Unknown"),"Unknown")</f>
        <v>Unknown</v>
      </c>
      <c r="E31" s="44" t="str">
        <f aca="false">Raw_Transactions!D31</f>
        <v>Salaries</v>
      </c>
      <c r="F31" s="44" t="str">
        <f aca="false">Raw_Transactions!E31</f>
        <v>Contract staff pay</v>
      </c>
      <c r="G31" s="45" t="n">
        <f aca="false">Raw_Transactions!F31</f>
        <v>3314781.25</v>
      </c>
      <c r="H31" s="22" t="str">
        <f aca="false">Raw_Transactions!G31</f>
        <v>Adeyemi T.</v>
      </c>
      <c r="I31" s="46" t="str">
        <f aca="false">IFERROR(xlookup(Raw_Transactions!H31,$O$2:$O$6,$P$2:$P$6,"Unknown"),"Unknown")</f>
        <v>Unknown</v>
      </c>
      <c r="J31" s="22" t="str">
        <f aca="false">IF(C31&lt;=3,"Q1",IF(C31&lt;=6,"Q2",IF(C31&lt;=9,"Q3","Q4")))</f>
        <v>Q1</v>
      </c>
    </row>
    <row r="32" customFormat="false" ht="15" hidden="false" customHeight="false" outlineLevel="0" collapsed="false">
      <c r="A32" s="17" t="str">
        <f aca="false">Raw_Transactions!A32</f>
        <v>TXN-1031</v>
      </c>
      <c r="B32" s="17" t="str">
        <f aca="false">Raw_Transactions!B32</f>
        <v>03/09/2024</v>
      </c>
      <c r="C32" s="17" t="n">
        <f aca="false">IFERROR(VALUE(MID(Raw_Transactions!B32,4,2)),"")</f>
        <v>9</v>
      </c>
      <c r="D32" s="37" t="str">
        <f aca="false">IFERROR(xlookup(Raw_Transactions!C32,$L$2:$L$11,$M$2:$M$11,"Unknown"),"Unknown")</f>
        <v>Unknown</v>
      </c>
      <c r="E32" s="38" t="str">
        <f aca="false">Raw_Transactions!D32</f>
        <v>Equipment</v>
      </c>
      <c r="F32" s="38" t="str">
        <f aca="false">Raw_Transactions!E32</f>
        <v>Laptop purchase</v>
      </c>
      <c r="G32" s="39" t="n">
        <f aca="false">Raw_Transactions!F32</f>
        <v>270104.92</v>
      </c>
      <c r="H32" s="17" t="str">
        <f aca="false">Raw_Transactions!G32</f>
        <v>Bello R.</v>
      </c>
      <c r="I32" s="40" t="str">
        <f aca="false">IFERROR(xlookup(Raw_Transactions!H32,$O$2:$O$6,$P$2:$P$6,"Unknown"),"Unknown")</f>
        <v>Unknown</v>
      </c>
      <c r="J32" s="17" t="str">
        <f aca="false">IF(C32&lt;=3,"Q1",IF(C32&lt;=6,"Q2",IF(C32&lt;=9,"Q3","Q4")))</f>
        <v>Q3</v>
      </c>
    </row>
    <row r="33" customFormat="false" ht="15" hidden="false" customHeight="false" outlineLevel="0" collapsed="false">
      <c r="A33" s="22" t="str">
        <f aca="false">Raw_Transactions!A33</f>
        <v>TXN-1032</v>
      </c>
      <c r="B33" s="22" t="str">
        <f aca="false">Raw_Transactions!B33</f>
        <v>08/10/2024</v>
      </c>
      <c r="C33" s="22" t="n">
        <f aca="false">IFERROR(VALUE(MID(Raw_Transactions!B33,4,2)),"")</f>
        <v>10</v>
      </c>
      <c r="D33" s="43" t="str">
        <f aca="false">IFERROR(xlookup(Raw_Transactions!C33,$L$2:$L$11,$M$2:$M$11,"Unknown"),"Unknown")</f>
        <v>Unknown</v>
      </c>
      <c r="E33" s="44" t="str">
        <f aca="false">Raw_Transactions!D33</f>
        <v>Utilities</v>
      </c>
      <c r="F33" s="44" t="str">
        <f aca="false">Raw_Transactions!E33</f>
        <v>Electricity bill</v>
      </c>
      <c r="G33" s="45" t="n">
        <f aca="false">Raw_Transactions!F33</f>
        <v>4238058.63</v>
      </c>
      <c r="H33" s="22" t="str">
        <f aca="false">Raw_Transactions!G33</f>
        <v>Okafor M.</v>
      </c>
      <c r="I33" s="46" t="str">
        <f aca="false">IFERROR(xlookup(Raw_Transactions!H33,$O$2:$O$6,$P$2:$P$6,"Unknown"),"Unknown")</f>
        <v>Unknown</v>
      </c>
      <c r="J33" s="22" t="str">
        <f aca="false">IF(C33&lt;=3,"Q1",IF(C33&lt;=6,"Q2",IF(C33&lt;=9,"Q3","Q4")))</f>
        <v>Q4</v>
      </c>
    </row>
    <row r="34" customFormat="false" ht="15" hidden="false" customHeight="false" outlineLevel="0" collapsed="false">
      <c r="A34" s="17" t="str">
        <f aca="false">Raw_Transactions!A34</f>
        <v>TXN-1033</v>
      </c>
      <c r="B34" s="17" t="str">
        <f aca="false">Raw_Transactions!B34</f>
        <v>07/05/2024</v>
      </c>
      <c r="C34" s="17" t="n">
        <f aca="false">IFERROR(VALUE(MID(Raw_Transactions!B34,4,2)),"")</f>
        <v>5</v>
      </c>
      <c r="D34" s="37" t="str">
        <f aca="false">IFERROR(xlookup(Raw_Transactions!C34,$L$2:$L$11,$M$2:$M$11,"Unknown"),"Unknown")</f>
        <v>Unknown</v>
      </c>
      <c r="E34" s="38" t="str">
        <f aca="false">Raw_Transactions!D34</f>
        <v>Miscellaneous</v>
      </c>
      <c r="F34" s="38" t="str">
        <f aca="false">Raw_Transactions!E34</f>
        <v>Sundry items</v>
      </c>
      <c r="G34" s="39" t="n">
        <f aca="false">Raw_Transactions!F34</f>
        <v>2359680.48</v>
      </c>
      <c r="H34" s="17" t="str">
        <f aca="false">Raw_Transactions!G34</f>
        <v>Adeyemi T.</v>
      </c>
      <c r="I34" s="40" t="str">
        <f aca="false">IFERROR(xlookup(Raw_Transactions!H34,$O$2:$O$6,$P$2:$P$6,"Unknown"),"Unknown")</f>
        <v>Unknown</v>
      </c>
      <c r="J34" s="17" t="str">
        <f aca="false">IF(C34&lt;=3,"Q1",IF(C34&lt;=6,"Q2",IF(C34&lt;=9,"Q3","Q4")))</f>
        <v>Q2</v>
      </c>
    </row>
    <row r="35" customFormat="false" ht="15" hidden="false" customHeight="false" outlineLevel="0" collapsed="false">
      <c r="A35" s="22" t="str">
        <f aca="false">Raw_Transactions!A35</f>
        <v>TXN-1034</v>
      </c>
      <c r="B35" s="22" t="str">
        <f aca="false">Raw_Transactions!B35</f>
        <v>01/02/2024</v>
      </c>
      <c r="C35" s="22" t="n">
        <f aca="false">IFERROR(VALUE(MID(Raw_Transactions!B35,4,2)),"")</f>
        <v>2</v>
      </c>
      <c r="D35" s="43" t="str">
        <f aca="false">IFERROR(xlookup(Raw_Transactions!C35,$L$2:$L$11,$M$2:$M$11,"Unknown"),"Unknown")</f>
        <v>Unknown</v>
      </c>
      <c r="E35" s="44" t="str">
        <f aca="false">Raw_Transactions!D35</f>
        <v>Consulting Fees</v>
      </c>
      <c r="F35" s="44" t="str">
        <f aca="false">Raw_Transactions!E35</f>
        <v>Legal advisory</v>
      </c>
      <c r="G35" s="45" t="n">
        <f aca="false">Raw_Transactions!F35</f>
        <v>4181647.22</v>
      </c>
      <c r="H35" s="22" t="str">
        <f aca="false">Raw_Transactions!G35</f>
        <v>Nwachukwu F.</v>
      </c>
      <c r="I35" s="46" t="str">
        <f aca="false">IFERROR(xlookup(Raw_Transactions!H35,$O$2:$O$6,$P$2:$P$6,"Unknown"),"Unknown")</f>
        <v>Unknown</v>
      </c>
      <c r="J35" s="22" t="str">
        <f aca="false">IF(C35&lt;=3,"Q1",IF(C35&lt;=6,"Q2",IF(C35&lt;=9,"Q3","Q4")))</f>
        <v>Q1</v>
      </c>
    </row>
    <row r="36" customFormat="false" ht="15" hidden="false" customHeight="false" outlineLevel="0" collapsed="false">
      <c r="A36" s="17" t="str">
        <f aca="false">Raw_Transactions!A36</f>
        <v>TXN-1035</v>
      </c>
      <c r="B36" s="17" t="str">
        <f aca="false">Raw_Transactions!B36</f>
        <v>08/02/2024</v>
      </c>
      <c r="C36" s="17" t="n">
        <f aca="false">IFERROR(VALUE(MID(Raw_Transactions!B36,4,2)),"")</f>
        <v>2</v>
      </c>
      <c r="D36" s="37" t="str">
        <f aca="false">IFERROR(xlookup(Raw_Transactions!C36,$L$2:$L$11,$M$2:$M$11,"Unknown"),"Unknown")</f>
        <v>Unknown</v>
      </c>
      <c r="E36" s="38" t="str">
        <f aca="false">Raw_Transactions!D36</f>
        <v>Training</v>
      </c>
      <c r="F36" s="38" t="str">
        <f aca="false">Raw_Transactions!E36</f>
        <v>Excel training workshop</v>
      </c>
      <c r="G36" s="39" t="n">
        <f aca="false">Raw_Transactions!F36</f>
        <v>4200668.31</v>
      </c>
      <c r="H36" s="17" t="str">
        <f aca="false">Raw_Transactions!G36</f>
        <v>Adeyemi T.</v>
      </c>
      <c r="I36" s="40" t="str">
        <f aca="false">IFERROR(xlookup(Raw_Transactions!H36,$O$2:$O$6,$P$2:$P$6,"Unknown"),"Unknown")</f>
        <v>Unknown</v>
      </c>
      <c r="J36" s="17" t="str">
        <f aca="false">IF(C36&lt;=3,"Q1",IF(C36&lt;=6,"Q2",IF(C36&lt;=9,"Q3","Q4")))</f>
        <v>Q1</v>
      </c>
    </row>
    <row r="37" customFormat="false" ht="15" hidden="false" customHeight="false" outlineLevel="0" collapsed="false">
      <c r="A37" s="22" t="str">
        <f aca="false">Raw_Transactions!A37</f>
        <v>TXN-1036</v>
      </c>
      <c r="B37" s="22" t="str">
        <f aca="false">Raw_Transactions!B37</f>
        <v>10/09/2024</v>
      </c>
      <c r="C37" s="22" t="n">
        <f aca="false">IFERROR(VALUE(MID(Raw_Transactions!B37,4,2)),"")</f>
        <v>9</v>
      </c>
      <c r="D37" s="43" t="str">
        <f aca="false">IFERROR(xlookup(Raw_Transactions!C37,$L$2:$L$11,$M$2:$M$11,"Unknown"),"Unknown")</f>
        <v>Unknown</v>
      </c>
      <c r="E37" s="44" t="str">
        <f aca="false">Raw_Transactions!D37</f>
        <v>Equipment</v>
      </c>
      <c r="F37" s="44" t="str">
        <f aca="false">Raw_Transactions!E37</f>
        <v>Laptop purchase</v>
      </c>
      <c r="G37" s="45" t="n">
        <f aca="false">Raw_Transactions!F37</f>
        <v>3010366.47</v>
      </c>
      <c r="H37" s="22" t="str">
        <f aca="false">Raw_Transactions!G37</f>
        <v>Chukwu A.</v>
      </c>
      <c r="I37" s="46" t="str">
        <f aca="false">IFERROR(xlookup(Raw_Transactions!H37,$O$2:$O$6,$P$2:$P$6,"Unknown"),"Unknown")</f>
        <v>Unknown</v>
      </c>
      <c r="J37" s="22" t="str">
        <f aca="false">IF(C37&lt;=3,"Q1",IF(C37&lt;=6,"Q2",IF(C37&lt;=9,"Q3","Q4")))</f>
        <v>Q3</v>
      </c>
    </row>
    <row r="38" customFormat="false" ht="15" hidden="false" customHeight="false" outlineLevel="0" collapsed="false">
      <c r="A38" s="17" t="str">
        <f aca="false">Raw_Transactions!A38</f>
        <v>TXN-1037</v>
      </c>
      <c r="B38" s="17" t="str">
        <f aca="false">Raw_Transactions!B38</f>
        <v>23/04/2024</v>
      </c>
      <c r="C38" s="17" t="n">
        <f aca="false">IFERROR(VALUE(MID(Raw_Transactions!B38,4,2)),"")</f>
        <v>4</v>
      </c>
      <c r="D38" s="37" t="str">
        <f aca="false">IFERROR(xlookup(Raw_Transactions!C38,$L$2:$L$11,$M$2:$M$11,"Unknown"),"Unknown")</f>
        <v>Unknown</v>
      </c>
      <c r="E38" s="38" t="str">
        <f aca="false">Raw_Transactions!D38</f>
        <v>Travel &amp; Transport</v>
      </c>
      <c r="F38" s="38" t="str">
        <f aca="false">Raw_Transactions!E38</f>
        <v>Airport transfer</v>
      </c>
      <c r="G38" s="39" t="n">
        <f aca="false">Raw_Transactions!F38</f>
        <v>1278676.88</v>
      </c>
      <c r="H38" s="17" t="str">
        <f aca="false">Raw_Transactions!G38</f>
        <v>Adeyemi T.</v>
      </c>
      <c r="I38" s="40" t="str">
        <f aca="false">IFERROR(xlookup(Raw_Transactions!H38,$O$2:$O$6,$P$2:$P$6,"Unknown"),"Unknown")</f>
        <v>Unknown</v>
      </c>
      <c r="J38" s="17" t="str">
        <f aca="false">IF(C38&lt;=3,"Q1",IF(C38&lt;=6,"Q2",IF(C38&lt;=9,"Q3","Q4")))</f>
        <v>Q2</v>
      </c>
    </row>
    <row r="39" customFormat="false" ht="15" hidden="false" customHeight="false" outlineLevel="0" collapsed="false">
      <c r="A39" s="22" t="str">
        <f aca="false">Raw_Transactions!A39</f>
        <v>TXN-1038</v>
      </c>
      <c r="B39" s="22" t="str">
        <f aca="false">Raw_Transactions!B39</f>
        <v>03/01/2024</v>
      </c>
      <c r="C39" s="22" t="n">
        <f aca="false">IFERROR(VALUE(MID(Raw_Transactions!B39,4,2)),"")</f>
        <v>1</v>
      </c>
      <c r="D39" s="43" t="str">
        <f aca="false">IFERROR(xlookup(Raw_Transactions!C39,$L$2:$L$11,$M$2:$M$11,"Unknown"),"Unknown")</f>
        <v>Unknown</v>
      </c>
      <c r="E39" s="44" t="str">
        <f aca="false">Raw_Transactions!D39</f>
        <v>Equipment</v>
      </c>
      <c r="F39" s="44" t="str">
        <f aca="false">Raw_Transactions!E39</f>
        <v>Projector</v>
      </c>
      <c r="G39" s="45" t="n">
        <f aca="false">Raw_Transactions!F39</f>
        <v>1141278.82</v>
      </c>
      <c r="H39" s="22" t="str">
        <f aca="false">Raw_Transactions!G39</f>
        <v>Nwachukwu F.</v>
      </c>
      <c r="I39" s="46" t="str">
        <f aca="false">IFERROR(xlookup(Raw_Transactions!H39,$O$2:$O$6,$P$2:$P$6,"Unknown"),"Unknown")</f>
        <v>Unknown</v>
      </c>
      <c r="J39" s="22" t="str">
        <f aca="false">IF(C39&lt;=3,"Q1",IF(C39&lt;=6,"Q2",IF(C39&lt;=9,"Q3","Q4")))</f>
        <v>Q1</v>
      </c>
    </row>
    <row r="40" customFormat="false" ht="15" hidden="false" customHeight="false" outlineLevel="0" collapsed="false">
      <c r="A40" s="17" t="str">
        <f aca="false">Raw_Transactions!A40</f>
        <v>TXN-1039</v>
      </c>
      <c r="B40" s="17" t="str">
        <f aca="false">Raw_Transactions!B40</f>
        <v>23/09/2024</v>
      </c>
      <c r="C40" s="17" t="n">
        <f aca="false">IFERROR(VALUE(MID(Raw_Transactions!B40,4,2)),"")</f>
        <v>9</v>
      </c>
      <c r="D40" s="37" t="str">
        <f aca="false">IFERROR(xlookup(Raw_Transactions!C40,$L$2:$L$11,$M$2:$M$11,"Unknown"),"Unknown")</f>
        <v>Unknown</v>
      </c>
      <c r="E40" s="38" t="str">
        <f aca="false">Raw_Transactions!D40</f>
        <v>Training</v>
      </c>
      <c r="F40" s="38" t="str">
        <f aca="false">Raw_Transactions!E40</f>
        <v>Excel training workshop</v>
      </c>
      <c r="G40" s="39" t="n">
        <f aca="false">Raw_Transactions!F40</f>
        <v>3339420.62</v>
      </c>
      <c r="H40" s="17" t="str">
        <f aca="false">Raw_Transactions!G40</f>
        <v>Nwachukwu F.</v>
      </c>
      <c r="I40" s="40" t="str">
        <f aca="false">IFERROR(xlookup(Raw_Transactions!H40,$O$2:$O$6,$P$2:$P$6,"Unknown"),"Unknown")</f>
        <v>Unknown</v>
      </c>
      <c r="J40" s="17" t="str">
        <f aca="false">IF(C40&lt;=3,"Q1",IF(C40&lt;=6,"Q2",IF(C40&lt;=9,"Q3","Q4")))</f>
        <v>Q3</v>
      </c>
    </row>
    <row r="41" customFormat="false" ht="15" hidden="false" customHeight="false" outlineLevel="0" collapsed="false">
      <c r="A41" s="22" t="str">
        <f aca="false">Raw_Transactions!A41</f>
        <v>TXN-1040</v>
      </c>
      <c r="B41" s="22" t="str">
        <f aca="false">Raw_Transactions!B41</f>
        <v>14/03/2024</v>
      </c>
      <c r="C41" s="22" t="n">
        <f aca="false">IFERROR(VALUE(MID(Raw_Transactions!B41,4,2)),"")</f>
        <v>3</v>
      </c>
      <c r="D41" s="43" t="str">
        <f aca="false">IFERROR(xlookup(Raw_Transactions!C41,$L$2:$L$11,$M$2:$M$11,"Unknown"),"Unknown")</f>
        <v>Unknown</v>
      </c>
      <c r="E41" s="44" t="str">
        <f aca="false">Raw_Transactions!D41</f>
        <v>Salaries</v>
      </c>
      <c r="F41" s="44" t="str">
        <f aca="false">Raw_Transactions!E41</f>
        <v>April staff payroll</v>
      </c>
      <c r="G41" s="45" t="n">
        <f aca="false">Raw_Transactions!F41</f>
        <v>2627555.41</v>
      </c>
      <c r="H41" s="22" t="str">
        <f aca="false">Raw_Transactions!G41</f>
        <v>Bello R.</v>
      </c>
      <c r="I41" s="46" t="str">
        <f aca="false">IFERROR(xlookup(Raw_Transactions!H41,$O$2:$O$6,$P$2:$P$6,"Unknown"),"Unknown")</f>
        <v>Unknown</v>
      </c>
      <c r="J41" s="22" t="str">
        <f aca="false">IF(C41&lt;=3,"Q1",IF(C41&lt;=6,"Q2",IF(C41&lt;=9,"Q3","Q4")))</f>
        <v>Q1</v>
      </c>
    </row>
    <row r="42" customFormat="false" ht="15" hidden="false" customHeight="false" outlineLevel="0" collapsed="false">
      <c r="A42" s="17" t="str">
        <f aca="false">Raw_Transactions!A42</f>
        <v>TXN-1041</v>
      </c>
      <c r="B42" s="17" t="str">
        <f aca="false">Raw_Transactions!B42</f>
        <v>04/11/2024</v>
      </c>
      <c r="C42" s="17" t="n">
        <f aca="false">IFERROR(VALUE(MID(Raw_Transactions!B42,4,2)),"")</f>
        <v>11</v>
      </c>
      <c r="D42" s="37" t="str">
        <f aca="false">IFERROR(xlookup(Raw_Transactions!C42,$L$2:$L$11,$M$2:$M$11,"Unknown"),"Unknown")</f>
        <v>Unknown</v>
      </c>
      <c r="E42" s="38" t="str">
        <f aca="false">Raw_Transactions!D42</f>
        <v>Marketing</v>
      </c>
      <c r="F42" s="38" t="str">
        <f aca="false">Raw_Transactions!E42</f>
        <v>Social media ads</v>
      </c>
      <c r="G42" s="39" t="n">
        <f aca="false">Raw_Transactions!F42</f>
        <v>3074069.1</v>
      </c>
      <c r="H42" s="17" t="str">
        <f aca="false">Raw_Transactions!G42</f>
        <v>Adeyemi T.</v>
      </c>
      <c r="I42" s="40" t="str">
        <f aca="false">IFERROR(xlookup(Raw_Transactions!H42,$O$2:$O$6,$P$2:$P$6,"Unknown"),"Unknown")</f>
        <v>Unknown</v>
      </c>
      <c r="J42" s="17" t="str">
        <f aca="false">IF(C42&lt;=3,"Q1",IF(C42&lt;=6,"Q2",IF(C42&lt;=9,"Q3","Q4")))</f>
        <v>Q4</v>
      </c>
    </row>
    <row r="43" customFormat="false" ht="15" hidden="false" customHeight="false" outlineLevel="0" collapsed="false">
      <c r="A43" s="22" t="str">
        <f aca="false">Raw_Transactions!A43</f>
        <v>TXN-1042</v>
      </c>
      <c r="B43" s="22" t="str">
        <f aca="false">Raw_Transactions!B43</f>
        <v>14/03/2024</v>
      </c>
      <c r="C43" s="22" t="n">
        <f aca="false">IFERROR(VALUE(MID(Raw_Transactions!B43,4,2)),"")</f>
        <v>3</v>
      </c>
      <c r="D43" s="43" t="str">
        <f aca="false">IFERROR(xlookup(Raw_Transactions!C43,$L$2:$L$11,$M$2:$M$11,"Unknown"),"Unknown")</f>
        <v>Unknown</v>
      </c>
      <c r="E43" s="44" t="str">
        <f aca="false">Raw_Transactions!D43</f>
        <v>Office Supplies</v>
      </c>
      <c r="F43" s="44" t="str">
        <f aca="false">Raw_Transactions!E43</f>
        <v>Printer cartridges</v>
      </c>
      <c r="G43" s="45" t="n">
        <f aca="false">Raw_Transactions!F43</f>
        <v>4393284.06</v>
      </c>
      <c r="H43" s="22" t="str">
        <f aca="false">Raw_Transactions!G43</f>
        <v>Chukwu A.</v>
      </c>
      <c r="I43" s="46" t="str">
        <f aca="false">IFERROR(xlookup(Raw_Transactions!H43,$O$2:$O$6,$P$2:$P$6,"Unknown"),"Unknown")</f>
        <v>Unknown</v>
      </c>
      <c r="J43" s="22" t="str">
        <f aca="false">IF(C43&lt;=3,"Q1",IF(C43&lt;=6,"Q2",IF(C43&lt;=9,"Q3","Q4")))</f>
        <v>Q1</v>
      </c>
    </row>
    <row r="44" customFormat="false" ht="15" hidden="false" customHeight="false" outlineLevel="0" collapsed="false">
      <c r="A44" s="17" t="str">
        <f aca="false">Raw_Transactions!A44</f>
        <v>TXN-1043</v>
      </c>
      <c r="B44" s="17" t="str">
        <f aca="false">Raw_Transactions!B44</f>
        <v>09/04/2024</v>
      </c>
      <c r="C44" s="17" t="n">
        <f aca="false">IFERROR(VALUE(MID(Raw_Transactions!B44,4,2)),"")</f>
        <v>4</v>
      </c>
      <c r="D44" s="37" t="str">
        <f aca="false">IFERROR(xlookup(Raw_Transactions!C44,$L$2:$L$11,$M$2:$M$11,"Unknown"),"Unknown")</f>
        <v>Unknown</v>
      </c>
      <c r="E44" s="38" t="str">
        <f aca="false">Raw_Transactions!D44</f>
        <v>Utilities</v>
      </c>
      <c r="F44" s="38" t="str">
        <f aca="false">Raw_Transactions!E44</f>
        <v>Generator maintenance</v>
      </c>
      <c r="G44" s="39" t="n">
        <f aca="false">Raw_Transactions!F44</f>
        <v>3890327.17</v>
      </c>
      <c r="H44" s="17" t="str">
        <f aca="false">Raw_Transactions!G44</f>
        <v>Bello R.</v>
      </c>
      <c r="I44" s="40" t="str">
        <f aca="false">IFERROR(xlookup(Raw_Transactions!H44,$O$2:$O$6,$P$2:$P$6,"Unknown"),"Unknown")</f>
        <v>Unknown</v>
      </c>
      <c r="J44" s="17" t="str">
        <f aca="false">IF(C44&lt;=3,"Q1",IF(C44&lt;=6,"Q2",IF(C44&lt;=9,"Q3","Q4")))</f>
        <v>Q2</v>
      </c>
    </row>
    <row r="45" customFormat="false" ht="15" hidden="false" customHeight="false" outlineLevel="0" collapsed="false">
      <c r="A45" s="22" t="str">
        <f aca="false">Raw_Transactions!A45</f>
        <v>TXN-1044</v>
      </c>
      <c r="B45" s="22" t="str">
        <f aca="false">Raw_Transactions!B45</f>
        <v>12/08/2024</v>
      </c>
      <c r="C45" s="22" t="n">
        <f aca="false">IFERROR(VALUE(MID(Raw_Transactions!B45,4,2)),"")</f>
        <v>8</v>
      </c>
      <c r="D45" s="43" t="str">
        <f aca="false">IFERROR(xlookup(Raw_Transactions!C45,$L$2:$L$11,$M$2:$M$11,"Unknown"),"Unknown")</f>
        <v>Unknown</v>
      </c>
      <c r="E45" s="44" t="str">
        <f aca="false">Raw_Transactions!D45</f>
        <v>Consulting Fees</v>
      </c>
      <c r="F45" s="44" t="str">
        <f aca="false">Raw_Transactions!E45</f>
        <v>IT audit consultant</v>
      </c>
      <c r="G45" s="45" t="n">
        <f aca="false">Raw_Transactions!F45</f>
        <v>910084.14</v>
      </c>
      <c r="H45" s="22" t="str">
        <f aca="false">Raw_Transactions!G45</f>
        <v>Adeyemi T.</v>
      </c>
      <c r="I45" s="46" t="str">
        <f aca="false">IFERROR(xlookup(Raw_Transactions!H45,$O$2:$O$6,$P$2:$P$6,"Unknown"),"Unknown")</f>
        <v>Unknown</v>
      </c>
      <c r="J45" s="22" t="str">
        <f aca="false">IF(C45&lt;=3,"Q1",IF(C45&lt;=6,"Q2",IF(C45&lt;=9,"Q3","Q4")))</f>
        <v>Q3</v>
      </c>
    </row>
    <row r="46" customFormat="false" ht="15" hidden="false" customHeight="false" outlineLevel="0" collapsed="false">
      <c r="A46" s="17" t="str">
        <f aca="false">Raw_Transactions!A46</f>
        <v>TXN-1045</v>
      </c>
      <c r="B46" s="17" t="str">
        <f aca="false">Raw_Transactions!B46</f>
        <v>12/05/2024</v>
      </c>
      <c r="C46" s="17" t="n">
        <f aca="false">IFERROR(VALUE(MID(Raw_Transactions!B46,4,2)),"")</f>
        <v>5</v>
      </c>
      <c r="D46" s="37" t="str">
        <f aca="false">IFERROR(xlookup(Raw_Transactions!C46,$L$2:$L$11,$M$2:$M$11,"Unknown"),"Unknown")</f>
        <v>Unknown</v>
      </c>
      <c r="E46" s="38" t="str">
        <f aca="false">Raw_Transactions!D46</f>
        <v>Marketing</v>
      </c>
      <c r="F46" s="38" t="str">
        <f aca="false">Raw_Transactions!E46</f>
        <v>Event sponsorship</v>
      </c>
      <c r="G46" s="39" t="n">
        <f aca="false">Raw_Transactions!F46</f>
        <v>3891622.95</v>
      </c>
      <c r="H46" s="17" t="str">
        <f aca="false">Raw_Transactions!G46</f>
        <v>Okafor M.</v>
      </c>
      <c r="I46" s="40" t="str">
        <f aca="false">IFERROR(xlookup(Raw_Transactions!H46,$O$2:$O$6,$P$2:$P$6,"Unknown"),"Unknown")</f>
        <v>Unknown</v>
      </c>
      <c r="J46" s="17" t="str">
        <f aca="false">IF(C46&lt;=3,"Q1",IF(C46&lt;=6,"Q2",IF(C46&lt;=9,"Q3","Q4")))</f>
        <v>Q2</v>
      </c>
    </row>
    <row r="47" customFormat="false" ht="15" hidden="false" customHeight="false" outlineLevel="0" collapsed="false">
      <c r="A47" s="22" t="str">
        <f aca="false">Raw_Transactions!A47</f>
        <v>TXN-1046</v>
      </c>
      <c r="B47" s="22" t="str">
        <f aca="false">Raw_Transactions!B47</f>
        <v>06/05/2024</v>
      </c>
      <c r="C47" s="22" t="n">
        <f aca="false">IFERROR(VALUE(MID(Raw_Transactions!B47,4,2)),"")</f>
        <v>5</v>
      </c>
      <c r="D47" s="43" t="str">
        <f aca="false">IFERROR(xlookup(Raw_Transactions!C47,$L$2:$L$11,$M$2:$M$11,"Unknown"),"Unknown")</f>
        <v>Unknown</v>
      </c>
      <c r="E47" s="44" t="str">
        <f aca="false">Raw_Transactions!D47</f>
        <v>Marketing</v>
      </c>
      <c r="F47" s="44" t="str">
        <f aca="false">Raw_Transactions!E47</f>
        <v>Social media ads</v>
      </c>
      <c r="G47" s="45" t="n">
        <f aca="false">Raw_Transactions!F47</f>
        <v>532307.76</v>
      </c>
      <c r="H47" s="22" t="str">
        <f aca="false">Raw_Transactions!G47</f>
        <v>Okafor M.</v>
      </c>
      <c r="I47" s="46" t="str">
        <f aca="false">IFERROR(xlookup(Raw_Transactions!H47,$O$2:$O$6,$P$2:$P$6,"Unknown"),"Unknown")</f>
        <v>Unknown</v>
      </c>
      <c r="J47" s="22" t="str">
        <f aca="false">IF(C47&lt;=3,"Q1",IF(C47&lt;=6,"Q2",IF(C47&lt;=9,"Q3","Q4")))</f>
        <v>Q2</v>
      </c>
    </row>
    <row r="48" customFormat="false" ht="15" hidden="false" customHeight="false" outlineLevel="0" collapsed="false">
      <c r="A48" s="17" t="str">
        <f aca="false">Raw_Transactions!A48</f>
        <v>TXN-1047</v>
      </c>
      <c r="B48" s="17" t="str">
        <f aca="false">Raw_Transactions!B48</f>
        <v>04/09/2024</v>
      </c>
      <c r="C48" s="17" t="n">
        <f aca="false">IFERROR(VALUE(MID(Raw_Transactions!B48,4,2)),"")</f>
        <v>9</v>
      </c>
      <c r="D48" s="37" t="str">
        <f aca="false">IFERROR(xlookup(Raw_Transactions!C48,$L$2:$L$11,$M$2:$M$11,"Unknown"),"Unknown")</f>
        <v>Unknown</v>
      </c>
      <c r="E48" s="38" t="str">
        <f aca="false">Raw_Transactions!D48</f>
        <v>Marketing</v>
      </c>
      <c r="F48" s="38" t="str">
        <f aca="false">Raw_Transactions!E48</f>
        <v>Event sponsorship</v>
      </c>
      <c r="G48" s="39" t="n">
        <f aca="false">Raw_Transactions!F48</f>
        <v>2733846.71</v>
      </c>
      <c r="H48" s="17" t="str">
        <f aca="false">Raw_Transactions!G48</f>
        <v>Nwachukwu F.</v>
      </c>
      <c r="I48" s="40" t="str">
        <f aca="false">IFERROR(xlookup(Raw_Transactions!H48,$O$2:$O$6,$P$2:$P$6,"Unknown"),"Unknown")</f>
        <v>Unknown</v>
      </c>
      <c r="J48" s="17" t="str">
        <f aca="false">IF(C48&lt;=3,"Q1",IF(C48&lt;=6,"Q2",IF(C48&lt;=9,"Q3","Q4")))</f>
        <v>Q3</v>
      </c>
    </row>
    <row r="49" customFormat="false" ht="15" hidden="false" customHeight="false" outlineLevel="0" collapsed="false">
      <c r="A49" s="22" t="str">
        <f aca="false">Raw_Transactions!A49</f>
        <v>TXN-1048</v>
      </c>
      <c r="B49" s="22" t="str">
        <f aca="false">Raw_Transactions!B49</f>
        <v>24/12/2024</v>
      </c>
      <c r="C49" s="22" t="n">
        <f aca="false">IFERROR(VALUE(MID(Raw_Transactions!B49,4,2)),"")</f>
        <v>12</v>
      </c>
      <c r="D49" s="43" t="str">
        <f aca="false">IFERROR(xlookup(Raw_Transactions!C49,$L$2:$L$11,$M$2:$M$11,"Unknown"),"Unknown")</f>
        <v>Unknown</v>
      </c>
      <c r="E49" s="44" t="str">
        <f aca="false">Raw_Transactions!D49</f>
        <v>Equipment</v>
      </c>
      <c r="F49" s="44" t="str">
        <f aca="false">Raw_Transactions!E49</f>
        <v>Server maintenance</v>
      </c>
      <c r="G49" s="45" t="n">
        <f aca="false">Raw_Transactions!F49</f>
        <v>3095554.3</v>
      </c>
      <c r="H49" s="22" t="str">
        <f aca="false">Raw_Transactions!G49</f>
        <v>Bello R.</v>
      </c>
      <c r="I49" s="46" t="str">
        <f aca="false">IFERROR(xlookup(Raw_Transactions!H49,$O$2:$O$6,$P$2:$P$6,"Unknown"),"Unknown")</f>
        <v>Unknown</v>
      </c>
      <c r="J49" s="22" t="str">
        <f aca="false">IF(C49&lt;=3,"Q1",IF(C49&lt;=6,"Q2",IF(C49&lt;=9,"Q3","Q4")))</f>
        <v>Q4</v>
      </c>
    </row>
    <row r="50" customFormat="false" ht="15" hidden="false" customHeight="false" outlineLevel="0" collapsed="false">
      <c r="A50" s="17" t="str">
        <f aca="false">Raw_Transactions!A50</f>
        <v>TXN-1049</v>
      </c>
      <c r="B50" s="17" t="str">
        <f aca="false">Raw_Transactions!B50</f>
        <v>24/02/2024</v>
      </c>
      <c r="C50" s="17" t="n">
        <f aca="false">IFERROR(VALUE(MID(Raw_Transactions!B50,4,2)),"")</f>
        <v>2</v>
      </c>
      <c r="D50" s="37" t="str">
        <f aca="false">IFERROR(xlookup(Raw_Transactions!C50,$L$2:$L$11,$M$2:$M$11,"Unknown"),"Unknown")</f>
        <v>Unknown</v>
      </c>
      <c r="E50" s="38" t="str">
        <f aca="false">Raw_Transactions!D50</f>
        <v>Miscellaneous</v>
      </c>
      <c r="F50" s="38" t="str">
        <f aca="false">Raw_Transactions!E50</f>
        <v>Unclassified expense</v>
      </c>
      <c r="G50" s="39" t="n">
        <f aca="false">Raw_Transactions!F50</f>
        <v>2990292.83</v>
      </c>
      <c r="H50" s="17" t="str">
        <f aca="false">Raw_Transactions!G50</f>
        <v>Adeyemi T.</v>
      </c>
      <c r="I50" s="40" t="str">
        <f aca="false">IFERROR(xlookup(Raw_Transactions!H50,$O$2:$O$6,$P$2:$P$6,"Unknown"),"Unknown")</f>
        <v>Unknown</v>
      </c>
      <c r="J50" s="17" t="str">
        <f aca="false">IF(C50&lt;=3,"Q1",IF(C50&lt;=6,"Q2",IF(C50&lt;=9,"Q3","Q4")))</f>
        <v>Q1</v>
      </c>
    </row>
    <row r="51" customFormat="false" ht="15" hidden="false" customHeight="false" outlineLevel="0" collapsed="false">
      <c r="A51" s="22" t="str">
        <f aca="false">Raw_Transactions!A51</f>
        <v>TXN-1050</v>
      </c>
      <c r="B51" s="22" t="str">
        <f aca="false">Raw_Transactions!B51</f>
        <v>07/03/2024</v>
      </c>
      <c r="C51" s="22" t="n">
        <f aca="false">IFERROR(VALUE(MID(Raw_Transactions!B51,4,2)),"")</f>
        <v>3</v>
      </c>
      <c r="D51" s="43" t="str">
        <f aca="false">IFERROR(xlookup(Raw_Transactions!C51,$L$2:$L$11,$M$2:$M$11,"Unknown"),"Unknown")</f>
        <v>Unknown</v>
      </c>
      <c r="E51" s="44" t="str">
        <f aca="false">Raw_Transactions!D51</f>
        <v>Utilities</v>
      </c>
      <c r="F51" s="44" t="str">
        <f aca="false">Raw_Transactions!E51</f>
        <v>Generator maintenance</v>
      </c>
      <c r="G51" s="45" t="n">
        <f aca="false">Raw_Transactions!F51</f>
        <v>1341013.58</v>
      </c>
      <c r="H51" s="22" t="str">
        <f aca="false">Raw_Transactions!G51</f>
        <v>Nwachukwu F.</v>
      </c>
      <c r="I51" s="46" t="str">
        <f aca="false">IFERROR(xlookup(Raw_Transactions!H51,$O$2:$O$6,$P$2:$P$6,"Unknown"),"Unknown")</f>
        <v>Unknown</v>
      </c>
      <c r="J51" s="22" t="str">
        <f aca="false">IF(C51&lt;=3,"Q1",IF(C51&lt;=6,"Q2",IF(C51&lt;=9,"Q3","Q4")))</f>
        <v>Q1</v>
      </c>
    </row>
    <row r="52" customFormat="false" ht="15" hidden="false" customHeight="false" outlineLevel="0" collapsed="false">
      <c r="A52" s="17" t="str">
        <f aca="false">Raw_Transactions!A52</f>
        <v>TXN-1051</v>
      </c>
      <c r="B52" s="17" t="str">
        <f aca="false">Raw_Transactions!B52</f>
        <v>27/09/2024</v>
      </c>
      <c r="C52" s="17" t="n">
        <f aca="false">IFERROR(VALUE(MID(Raw_Transactions!B52,4,2)),"")</f>
        <v>9</v>
      </c>
      <c r="D52" s="37" t="str">
        <f aca="false">IFERROR(xlookup(Raw_Transactions!C52,$L$2:$L$11,$M$2:$M$11,"Unknown"),"Unknown")</f>
        <v>Unknown</v>
      </c>
      <c r="E52" s="38" t="str">
        <f aca="false">Raw_Transactions!D52</f>
        <v>Miscellaneous</v>
      </c>
      <c r="F52" s="38" t="str">
        <f aca="false">Raw_Transactions!E52</f>
        <v>Sundry items</v>
      </c>
      <c r="G52" s="39" t="n">
        <f aca="false">Raw_Transactions!F52</f>
        <v>1364760.19</v>
      </c>
      <c r="H52" s="17" t="str">
        <f aca="false">Raw_Transactions!G52</f>
        <v>Chukwu A.</v>
      </c>
      <c r="I52" s="40" t="str">
        <f aca="false">IFERROR(xlookup(Raw_Transactions!H52,$O$2:$O$6,$P$2:$P$6,"Unknown"),"Unknown")</f>
        <v>Unknown</v>
      </c>
      <c r="J52" s="17" t="str">
        <f aca="false">IF(C52&lt;=3,"Q1",IF(C52&lt;=6,"Q2",IF(C52&lt;=9,"Q3","Q4")))</f>
        <v>Q3</v>
      </c>
    </row>
    <row r="53" customFormat="false" ht="15" hidden="false" customHeight="false" outlineLevel="0" collapsed="false">
      <c r="A53" s="22" t="str">
        <f aca="false">Raw_Transactions!A53</f>
        <v>TXN-1052</v>
      </c>
      <c r="B53" s="22" t="str">
        <f aca="false">Raw_Transactions!B53</f>
        <v>15/08/2024</v>
      </c>
      <c r="C53" s="22" t="n">
        <f aca="false">IFERROR(VALUE(MID(Raw_Transactions!B53,4,2)),"")</f>
        <v>8</v>
      </c>
      <c r="D53" s="43" t="str">
        <f aca="false">IFERROR(xlookup(Raw_Transactions!C53,$L$2:$L$11,$M$2:$M$11,"Unknown"),"Unknown")</f>
        <v>Unknown</v>
      </c>
      <c r="E53" s="44" t="str">
        <f aca="false">Raw_Transactions!D53</f>
        <v>Miscellaneous</v>
      </c>
      <c r="F53" s="44" t="str">
        <f aca="false">Raw_Transactions!E53</f>
        <v>Sundry items</v>
      </c>
      <c r="G53" s="45" t="n">
        <f aca="false">Raw_Transactions!F53</f>
        <v>1460287.8</v>
      </c>
      <c r="H53" s="22" t="str">
        <f aca="false">Raw_Transactions!G53</f>
        <v>Bello R.</v>
      </c>
      <c r="I53" s="46" t="str">
        <f aca="false">IFERROR(xlookup(Raw_Transactions!H53,$O$2:$O$6,$P$2:$P$6,"Unknown"),"Unknown")</f>
        <v>Unknown</v>
      </c>
      <c r="J53" s="22" t="str">
        <f aca="false">IF(C53&lt;=3,"Q1",IF(C53&lt;=6,"Q2",IF(C53&lt;=9,"Q3","Q4")))</f>
        <v>Q3</v>
      </c>
    </row>
    <row r="54" customFormat="false" ht="15" hidden="false" customHeight="false" outlineLevel="0" collapsed="false">
      <c r="A54" s="17" t="str">
        <f aca="false">Raw_Transactions!A54</f>
        <v>TXN-1053</v>
      </c>
      <c r="B54" s="17" t="str">
        <f aca="false">Raw_Transactions!B54</f>
        <v>20/11/2024</v>
      </c>
      <c r="C54" s="17" t="n">
        <f aca="false">IFERROR(VALUE(MID(Raw_Transactions!B54,4,2)),"")</f>
        <v>11</v>
      </c>
      <c r="D54" s="37" t="str">
        <f aca="false">IFERROR(xlookup(Raw_Transactions!C54,$L$2:$L$11,$M$2:$M$11,"Unknown"),"Unknown")</f>
        <v>Unknown</v>
      </c>
      <c r="E54" s="38" t="str">
        <f aca="false">Raw_Transactions!D54</f>
        <v>Software Licenses</v>
      </c>
      <c r="F54" s="38" t="str">
        <f aca="false">Raw_Transactions!E54</f>
        <v>Antivirus subscription</v>
      </c>
      <c r="G54" s="39" t="n">
        <f aca="false">Raw_Transactions!F54</f>
        <v>2326802.26</v>
      </c>
      <c r="H54" s="17" t="str">
        <f aca="false">Raw_Transactions!G54</f>
        <v>Adeyemi T.</v>
      </c>
      <c r="I54" s="40" t="str">
        <f aca="false">IFERROR(xlookup(Raw_Transactions!H54,$O$2:$O$6,$P$2:$P$6,"Unknown"),"Unknown")</f>
        <v>Unknown</v>
      </c>
      <c r="J54" s="17" t="str">
        <f aca="false">IF(C54&lt;=3,"Q1",IF(C54&lt;=6,"Q2",IF(C54&lt;=9,"Q3","Q4")))</f>
        <v>Q4</v>
      </c>
    </row>
    <row r="55" customFormat="false" ht="15" hidden="false" customHeight="false" outlineLevel="0" collapsed="false">
      <c r="A55" s="22" t="str">
        <f aca="false">Raw_Transactions!A55</f>
        <v>TXN-1054</v>
      </c>
      <c r="B55" s="22" t="str">
        <f aca="false">Raw_Transactions!B55</f>
        <v>01/03/2024</v>
      </c>
      <c r="C55" s="22" t="n">
        <f aca="false">IFERROR(VALUE(MID(Raw_Transactions!B55,4,2)),"")</f>
        <v>3</v>
      </c>
      <c r="D55" s="43" t="str">
        <f aca="false">IFERROR(xlookup(Raw_Transactions!C55,$L$2:$L$11,$M$2:$M$11,"Unknown"),"Unknown")</f>
        <v>Unknown</v>
      </c>
      <c r="E55" s="44" t="str">
        <f aca="false">Raw_Transactions!D55</f>
        <v>Training</v>
      </c>
      <c r="F55" s="44" t="str">
        <f aca="false">Raw_Transactions!E55</f>
        <v>Excel training workshop</v>
      </c>
      <c r="G55" s="45" t="n">
        <f aca="false">Raw_Transactions!F55</f>
        <v>3632434.58</v>
      </c>
      <c r="H55" s="22" t="str">
        <f aca="false">Raw_Transactions!G55</f>
        <v>Chukwu A.</v>
      </c>
      <c r="I55" s="46" t="str">
        <f aca="false">IFERROR(xlookup(Raw_Transactions!H55,$O$2:$O$6,$P$2:$P$6,"Unknown"),"Unknown")</f>
        <v>Unknown</v>
      </c>
      <c r="J55" s="22" t="str">
        <f aca="false">IF(C55&lt;=3,"Q1",IF(C55&lt;=6,"Q2",IF(C55&lt;=9,"Q3","Q4")))</f>
        <v>Q1</v>
      </c>
    </row>
    <row r="56" customFormat="false" ht="15" hidden="false" customHeight="false" outlineLevel="0" collapsed="false">
      <c r="A56" s="17" t="str">
        <f aca="false">Raw_Transactions!A56</f>
        <v>TXN-1055</v>
      </c>
      <c r="B56" s="17" t="str">
        <f aca="false">Raw_Transactions!B56</f>
        <v>19/11/2024</v>
      </c>
      <c r="C56" s="17" t="n">
        <f aca="false">IFERROR(VALUE(MID(Raw_Transactions!B56,4,2)),"")</f>
        <v>11</v>
      </c>
      <c r="D56" s="37" t="str">
        <f aca="false">IFERROR(xlookup(Raw_Transactions!C56,$L$2:$L$11,$M$2:$M$11,"Unknown"),"Unknown")</f>
        <v>Unknown</v>
      </c>
      <c r="E56" s="38" t="str">
        <f aca="false">Raw_Transactions!D56</f>
        <v>Software Licenses</v>
      </c>
      <c r="F56" s="38" t="str">
        <f aca="false">Raw_Transactions!E56</f>
        <v>Antivirus subscription</v>
      </c>
      <c r="G56" s="39" t="n">
        <f aca="false">Raw_Transactions!F56</f>
        <v>1873767.93</v>
      </c>
      <c r="H56" s="17" t="str">
        <f aca="false">Raw_Transactions!G56</f>
        <v>Bello R.</v>
      </c>
      <c r="I56" s="40" t="str">
        <f aca="false">IFERROR(xlookup(Raw_Transactions!H56,$O$2:$O$6,$P$2:$P$6,"Unknown"),"Unknown")</f>
        <v>Unknown</v>
      </c>
      <c r="J56" s="17" t="str">
        <f aca="false">IF(C56&lt;=3,"Q1",IF(C56&lt;=6,"Q2",IF(C56&lt;=9,"Q3","Q4")))</f>
        <v>Q4</v>
      </c>
    </row>
    <row r="57" customFormat="false" ht="15" hidden="false" customHeight="false" outlineLevel="0" collapsed="false">
      <c r="A57" s="22" t="str">
        <f aca="false">Raw_Transactions!A57</f>
        <v>TXN-1056</v>
      </c>
      <c r="B57" s="22" t="str">
        <f aca="false">Raw_Transactions!B57</f>
        <v>25/02/2024</v>
      </c>
      <c r="C57" s="22" t="n">
        <f aca="false">IFERROR(VALUE(MID(Raw_Transactions!B57,4,2)),"")</f>
        <v>2</v>
      </c>
      <c r="D57" s="43" t="str">
        <f aca="false">IFERROR(xlookup(Raw_Transactions!C57,$L$2:$L$11,$M$2:$M$11,"Unknown"),"Unknown")</f>
        <v>Unknown</v>
      </c>
      <c r="E57" s="44" t="str">
        <f aca="false">Raw_Transactions!D57</f>
        <v>Travel &amp; Transport</v>
      </c>
      <c r="F57" s="44" t="str">
        <f aca="false">Raw_Transactions!E57</f>
        <v>Staff retreat transport</v>
      </c>
      <c r="G57" s="45" t="n">
        <f aca="false">Raw_Transactions!F57</f>
        <v>3098986.52</v>
      </c>
      <c r="H57" s="22" t="str">
        <f aca="false">Raw_Transactions!G57</f>
        <v>Nwachukwu F.</v>
      </c>
      <c r="I57" s="46" t="str">
        <f aca="false">IFERROR(xlookup(Raw_Transactions!H57,$O$2:$O$6,$P$2:$P$6,"Unknown"),"Unknown")</f>
        <v>Unknown</v>
      </c>
      <c r="J57" s="22" t="str">
        <f aca="false">IF(C57&lt;=3,"Q1",IF(C57&lt;=6,"Q2",IF(C57&lt;=9,"Q3","Q4")))</f>
        <v>Q1</v>
      </c>
    </row>
    <row r="58" customFormat="false" ht="15" hidden="false" customHeight="false" outlineLevel="0" collapsed="false">
      <c r="A58" s="17" t="str">
        <f aca="false">Raw_Transactions!A58</f>
        <v>TXN-1057</v>
      </c>
      <c r="B58" s="17" t="str">
        <f aca="false">Raw_Transactions!B58</f>
        <v>15/02/2024</v>
      </c>
      <c r="C58" s="17" t="n">
        <f aca="false">IFERROR(VALUE(MID(Raw_Transactions!B58,4,2)),"")</f>
        <v>2</v>
      </c>
      <c r="D58" s="37" t="str">
        <f aca="false">IFERROR(xlookup(Raw_Transactions!C58,$L$2:$L$11,$M$2:$M$11,"Unknown"),"Unknown")</f>
        <v>Unknown</v>
      </c>
      <c r="E58" s="38" t="str">
        <f aca="false">Raw_Transactions!D58</f>
        <v>Equipment</v>
      </c>
      <c r="F58" s="38" t="str">
        <f aca="false">Raw_Transactions!E58</f>
        <v>Laptop purchase</v>
      </c>
      <c r="G58" s="39" t="n">
        <f aca="false">Raw_Transactions!F58</f>
        <v>4129853.01</v>
      </c>
      <c r="H58" s="17" t="str">
        <f aca="false">Raw_Transactions!G58</f>
        <v>Bello R.</v>
      </c>
      <c r="I58" s="40" t="str">
        <f aca="false">IFERROR(xlookup(Raw_Transactions!H58,$O$2:$O$6,$P$2:$P$6,"Unknown"),"Unknown")</f>
        <v>Unknown</v>
      </c>
      <c r="J58" s="17" t="str">
        <f aca="false">IF(C58&lt;=3,"Q1",IF(C58&lt;=6,"Q2",IF(C58&lt;=9,"Q3","Q4")))</f>
        <v>Q1</v>
      </c>
    </row>
    <row r="59" customFormat="false" ht="15" hidden="false" customHeight="false" outlineLevel="0" collapsed="false">
      <c r="A59" s="22" t="str">
        <f aca="false">Raw_Transactions!A59</f>
        <v>TXN-1058</v>
      </c>
      <c r="B59" s="22" t="str">
        <f aca="false">Raw_Transactions!B59</f>
        <v>20/08/2024</v>
      </c>
      <c r="C59" s="22" t="n">
        <f aca="false">IFERROR(VALUE(MID(Raw_Transactions!B59,4,2)),"")</f>
        <v>8</v>
      </c>
      <c r="D59" s="43" t="str">
        <f aca="false">IFERROR(xlookup(Raw_Transactions!C59,$L$2:$L$11,$M$2:$M$11,"Unknown"),"Unknown")</f>
        <v>Unknown</v>
      </c>
      <c r="E59" s="44" t="str">
        <f aca="false">Raw_Transactions!D59</f>
        <v>Miscellaneous</v>
      </c>
      <c r="F59" s="44" t="str">
        <f aca="false">Raw_Transactions!E59</f>
        <v>Unclassified expense</v>
      </c>
      <c r="G59" s="45" t="n">
        <f aca="false">Raw_Transactions!F59</f>
        <v>4275927.64</v>
      </c>
      <c r="H59" s="22" t="str">
        <f aca="false">Raw_Transactions!G59</f>
        <v>Okafor M.</v>
      </c>
      <c r="I59" s="46" t="str">
        <f aca="false">IFERROR(xlookup(Raw_Transactions!H59,$O$2:$O$6,$P$2:$P$6,"Unknown"),"Unknown")</f>
        <v>Unknown</v>
      </c>
      <c r="J59" s="22" t="str">
        <f aca="false">IF(C59&lt;=3,"Q1",IF(C59&lt;=6,"Q2",IF(C59&lt;=9,"Q3","Q4")))</f>
        <v>Q3</v>
      </c>
    </row>
    <row r="60" customFormat="false" ht="15" hidden="false" customHeight="false" outlineLevel="0" collapsed="false">
      <c r="A60" s="17" t="str">
        <f aca="false">Raw_Transactions!A60</f>
        <v>TXN-1059</v>
      </c>
      <c r="B60" s="17" t="str">
        <f aca="false">Raw_Transactions!B60</f>
        <v>15/08/2024</v>
      </c>
      <c r="C60" s="17" t="n">
        <f aca="false">IFERROR(VALUE(MID(Raw_Transactions!B60,4,2)),"")</f>
        <v>8</v>
      </c>
      <c r="D60" s="37" t="str">
        <f aca="false">IFERROR(xlookup(Raw_Transactions!C60,$L$2:$L$11,$M$2:$M$11,"Unknown"),"Unknown")</f>
        <v>Unknown</v>
      </c>
      <c r="E60" s="38" t="str">
        <f aca="false">Raw_Transactions!D60</f>
        <v>Consulting Fees</v>
      </c>
      <c r="F60" s="38" t="str">
        <f aca="false">Raw_Transactions!E60</f>
        <v>IT audit consultant</v>
      </c>
      <c r="G60" s="39" t="n">
        <f aca="false">Raw_Transactions!F60</f>
        <v>3350294.66</v>
      </c>
      <c r="H60" s="17" t="str">
        <f aca="false">Raw_Transactions!G60</f>
        <v>Adeyemi T.</v>
      </c>
      <c r="I60" s="40" t="str">
        <f aca="false">IFERROR(xlookup(Raw_Transactions!H60,$O$2:$O$6,$P$2:$P$6,"Unknown"),"Unknown")</f>
        <v>Unknown</v>
      </c>
      <c r="J60" s="17" t="str">
        <f aca="false">IF(C60&lt;=3,"Q1",IF(C60&lt;=6,"Q2",IF(C60&lt;=9,"Q3","Q4")))</f>
        <v>Q3</v>
      </c>
    </row>
    <row r="61" customFormat="false" ht="15" hidden="false" customHeight="false" outlineLevel="0" collapsed="false">
      <c r="A61" s="22" t="str">
        <f aca="false">Raw_Transactions!A61</f>
        <v>TXN-1060</v>
      </c>
      <c r="B61" s="22" t="str">
        <f aca="false">Raw_Transactions!B61</f>
        <v>15/05/2024</v>
      </c>
      <c r="C61" s="22" t="n">
        <f aca="false">IFERROR(VALUE(MID(Raw_Transactions!B61,4,2)),"")</f>
        <v>5</v>
      </c>
      <c r="D61" s="43" t="str">
        <f aca="false">IFERROR(xlookup(Raw_Transactions!C61,$L$2:$L$11,$M$2:$M$11,"Unknown"),"Unknown")</f>
        <v>Unknown</v>
      </c>
      <c r="E61" s="44" t="str">
        <f aca="false">Raw_Transactions!D61</f>
        <v>Equipment</v>
      </c>
      <c r="F61" s="44" t="str">
        <f aca="false">Raw_Transactions!E61</f>
        <v>Projector</v>
      </c>
      <c r="G61" s="45" t="n">
        <f aca="false">Raw_Transactions!F61</f>
        <v>2825966.74</v>
      </c>
      <c r="H61" s="22" t="str">
        <f aca="false">Raw_Transactions!G61</f>
        <v>Chukwu A.</v>
      </c>
      <c r="I61" s="46" t="str">
        <f aca="false">IFERROR(xlookup(Raw_Transactions!H61,$O$2:$O$6,$P$2:$P$6,"Unknown"),"Unknown")</f>
        <v>Unknown</v>
      </c>
      <c r="J61" s="22" t="str">
        <f aca="false">IF(C61&lt;=3,"Q1",IF(C61&lt;=6,"Q2",IF(C61&lt;=9,"Q3","Q4")))</f>
        <v>Q2</v>
      </c>
    </row>
    <row r="62" customFormat="false" ht="15" hidden="false" customHeight="false" outlineLevel="0" collapsed="false">
      <c r="A62" s="17" t="str">
        <f aca="false">Raw_Transactions!A62</f>
        <v>TXN-1061</v>
      </c>
      <c r="B62" s="17" t="str">
        <f aca="false">Raw_Transactions!B62</f>
        <v>13/04/2024</v>
      </c>
      <c r="C62" s="17" t="n">
        <f aca="false">IFERROR(VALUE(MID(Raw_Transactions!B62,4,2)),"")</f>
        <v>4</v>
      </c>
      <c r="D62" s="37" t="str">
        <f aca="false">IFERROR(xlookup(Raw_Transactions!C62,$L$2:$L$11,$M$2:$M$11,"Unknown"),"Unknown")</f>
        <v>Unknown</v>
      </c>
      <c r="E62" s="38" t="str">
        <f aca="false">Raw_Transactions!D62</f>
        <v>Equipment</v>
      </c>
      <c r="F62" s="38" t="str">
        <f aca="false">Raw_Transactions!E62</f>
        <v>Laptop purchase</v>
      </c>
      <c r="G62" s="39" t="n">
        <f aca="false">Raw_Transactions!F62</f>
        <v>635607.67</v>
      </c>
      <c r="H62" s="17" t="str">
        <f aca="false">Raw_Transactions!G62</f>
        <v>Bello R.</v>
      </c>
      <c r="I62" s="40" t="str">
        <f aca="false">IFERROR(xlookup(Raw_Transactions!H62,$O$2:$O$6,$P$2:$P$6,"Unknown"),"Unknown")</f>
        <v>Unknown</v>
      </c>
      <c r="J62" s="17" t="str">
        <f aca="false">IF(C62&lt;=3,"Q1",IF(C62&lt;=6,"Q2",IF(C62&lt;=9,"Q3","Q4")))</f>
        <v>Q2</v>
      </c>
    </row>
    <row r="63" customFormat="false" ht="15" hidden="false" customHeight="false" outlineLevel="0" collapsed="false">
      <c r="A63" s="22" t="str">
        <f aca="false">Raw_Transactions!A63</f>
        <v>TXN-1062</v>
      </c>
      <c r="B63" s="22" t="str">
        <f aca="false">Raw_Transactions!B63</f>
        <v>27/04/2024</v>
      </c>
      <c r="C63" s="22" t="n">
        <f aca="false">IFERROR(VALUE(MID(Raw_Transactions!B63,4,2)),"")</f>
        <v>4</v>
      </c>
      <c r="D63" s="43" t="str">
        <f aca="false">IFERROR(xlookup(Raw_Transactions!C63,$L$2:$L$11,$M$2:$M$11,"Unknown"),"Unknown")</f>
        <v>Unknown</v>
      </c>
      <c r="E63" s="44" t="str">
        <f aca="false">Raw_Transactions!D63</f>
        <v>Equipment</v>
      </c>
      <c r="F63" s="44" t="str">
        <f aca="false">Raw_Transactions!E63</f>
        <v>Projector</v>
      </c>
      <c r="G63" s="45" t="n">
        <f aca="false">Raw_Transactions!F63</f>
        <v>1879747.44</v>
      </c>
      <c r="H63" s="22" t="str">
        <f aca="false">Raw_Transactions!G63</f>
        <v>Nwachukwu F.</v>
      </c>
      <c r="I63" s="46" t="str">
        <f aca="false">IFERROR(xlookup(Raw_Transactions!H63,$O$2:$O$6,$P$2:$P$6,"Unknown"),"Unknown")</f>
        <v>Unknown</v>
      </c>
      <c r="J63" s="22" t="str">
        <f aca="false">IF(C63&lt;=3,"Q1",IF(C63&lt;=6,"Q2",IF(C63&lt;=9,"Q3","Q4")))</f>
        <v>Q2</v>
      </c>
    </row>
    <row r="64" customFormat="false" ht="15" hidden="false" customHeight="false" outlineLevel="0" collapsed="false">
      <c r="A64" s="17" t="str">
        <f aca="false">Raw_Transactions!A64</f>
        <v>TXN-1063</v>
      </c>
      <c r="B64" s="17" t="str">
        <f aca="false">Raw_Transactions!B64</f>
        <v>12/01/2024</v>
      </c>
      <c r="C64" s="17" t="n">
        <f aca="false">IFERROR(VALUE(MID(Raw_Transactions!B64,4,2)),"")</f>
        <v>1</v>
      </c>
      <c r="D64" s="37" t="str">
        <f aca="false">IFERROR(xlookup(Raw_Transactions!C64,$L$2:$L$11,$M$2:$M$11,"Unknown"),"Unknown")</f>
        <v>Unknown</v>
      </c>
      <c r="E64" s="38" t="str">
        <f aca="false">Raw_Transactions!D64</f>
        <v>Salaries</v>
      </c>
      <c r="F64" s="38" t="str">
        <f aca="false">Raw_Transactions!E64</f>
        <v>Contract staff pay</v>
      </c>
      <c r="G64" s="39" t="n">
        <f aca="false">Raw_Transactions!F64</f>
        <v>1721008.91</v>
      </c>
      <c r="H64" s="17" t="str">
        <f aca="false">Raw_Transactions!G64</f>
        <v>Adeyemi T.</v>
      </c>
      <c r="I64" s="40" t="str">
        <f aca="false">IFERROR(xlookup(Raw_Transactions!H64,$O$2:$O$6,$P$2:$P$6,"Unknown"),"Unknown")</f>
        <v>Unknown</v>
      </c>
      <c r="J64" s="17" t="str">
        <f aca="false">IF(C64&lt;=3,"Q1",IF(C64&lt;=6,"Q2",IF(C64&lt;=9,"Q3","Q4")))</f>
        <v>Q1</v>
      </c>
    </row>
    <row r="65" customFormat="false" ht="15" hidden="false" customHeight="false" outlineLevel="0" collapsed="false">
      <c r="A65" s="22" t="str">
        <f aca="false">Raw_Transactions!A65</f>
        <v>TXN-1064</v>
      </c>
      <c r="B65" s="22" t="str">
        <f aca="false">Raw_Transactions!B65</f>
        <v>08/10/2024</v>
      </c>
      <c r="C65" s="22" t="n">
        <f aca="false">IFERROR(VALUE(MID(Raw_Transactions!B65,4,2)),"")</f>
        <v>10</v>
      </c>
      <c r="D65" s="43" t="str">
        <f aca="false">IFERROR(xlookup(Raw_Transactions!C65,$L$2:$L$11,$M$2:$M$11,"Unknown"),"Unknown")</f>
        <v>Unknown</v>
      </c>
      <c r="E65" s="44" t="str">
        <f aca="false">Raw_Transactions!D65</f>
        <v>Equipment</v>
      </c>
      <c r="F65" s="44" t="str">
        <f aca="false">Raw_Transactions!E65</f>
        <v>Server maintenance</v>
      </c>
      <c r="G65" s="45" t="n">
        <f aca="false">Raw_Transactions!F65</f>
        <v>3309833.76</v>
      </c>
      <c r="H65" s="22" t="str">
        <f aca="false">Raw_Transactions!G65</f>
        <v>Nwachukwu F.</v>
      </c>
      <c r="I65" s="46" t="str">
        <f aca="false">IFERROR(xlookup(Raw_Transactions!H65,$O$2:$O$6,$P$2:$P$6,"Unknown"),"Unknown")</f>
        <v>Unknown</v>
      </c>
      <c r="J65" s="22" t="str">
        <f aca="false">IF(C65&lt;=3,"Q1",IF(C65&lt;=6,"Q2",IF(C65&lt;=9,"Q3","Q4")))</f>
        <v>Q4</v>
      </c>
    </row>
    <row r="66" customFormat="false" ht="15" hidden="false" customHeight="false" outlineLevel="0" collapsed="false">
      <c r="A66" s="17" t="str">
        <f aca="false">Raw_Transactions!A66</f>
        <v>TXN-1065</v>
      </c>
      <c r="B66" s="17" t="str">
        <f aca="false">Raw_Transactions!B66</f>
        <v>24/07/2024</v>
      </c>
      <c r="C66" s="17" t="n">
        <f aca="false">IFERROR(VALUE(MID(Raw_Transactions!B66,4,2)),"")</f>
        <v>7</v>
      </c>
      <c r="D66" s="37" t="str">
        <f aca="false">IFERROR(xlookup(Raw_Transactions!C66,$L$2:$L$11,$M$2:$M$11,"Unknown"),"Unknown")</f>
        <v>Unknown</v>
      </c>
      <c r="E66" s="38" t="str">
        <f aca="false">Raw_Transactions!D66</f>
        <v>Utilities</v>
      </c>
      <c r="F66" s="38" t="str">
        <f aca="false">Raw_Transactions!E66</f>
        <v>Internet subscription</v>
      </c>
      <c r="G66" s="39" t="n">
        <f aca="false">Raw_Transactions!F66</f>
        <v>3014898.19</v>
      </c>
      <c r="H66" s="17" t="str">
        <f aca="false">Raw_Transactions!G66</f>
        <v>Bello R.</v>
      </c>
      <c r="I66" s="40" t="str">
        <f aca="false">IFERROR(xlookup(Raw_Transactions!H66,$O$2:$O$6,$P$2:$P$6,"Unknown"),"Unknown")</f>
        <v>Unknown</v>
      </c>
      <c r="J66" s="17" t="str">
        <f aca="false">IF(C66&lt;=3,"Q1",IF(C66&lt;=6,"Q2",IF(C66&lt;=9,"Q3","Q4")))</f>
        <v>Q3</v>
      </c>
    </row>
    <row r="67" customFormat="false" ht="15" hidden="false" customHeight="false" outlineLevel="0" collapsed="false">
      <c r="A67" s="22" t="str">
        <f aca="false">Raw_Transactions!A67</f>
        <v>TXN-1066</v>
      </c>
      <c r="B67" s="22" t="str">
        <f aca="false">Raw_Transactions!B67</f>
        <v>19/10/2024</v>
      </c>
      <c r="C67" s="22" t="n">
        <f aca="false">IFERROR(VALUE(MID(Raw_Transactions!B67,4,2)),"")</f>
        <v>10</v>
      </c>
      <c r="D67" s="43" t="str">
        <f aca="false">IFERROR(xlookup(Raw_Transactions!C67,$L$2:$L$11,$M$2:$M$11,"Unknown"),"Unknown")</f>
        <v>Unknown</v>
      </c>
      <c r="E67" s="44" t="str">
        <f aca="false">Raw_Transactions!D67</f>
        <v>Equipment</v>
      </c>
      <c r="F67" s="44" t="str">
        <f aca="false">Raw_Transactions!E67</f>
        <v>Laptop purchase</v>
      </c>
      <c r="G67" s="45" t="n">
        <f aca="false">Raw_Transactions!F67</f>
        <v>4082575.95</v>
      </c>
      <c r="H67" s="22" t="str">
        <f aca="false">Raw_Transactions!G67</f>
        <v>Chukwu A.</v>
      </c>
      <c r="I67" s="46" t="str">
        <f aca="false">IFERROR(xlookup(Raw_Transactions!H67,$O$2:$O$6,$P$2:$P$6,"Unknown"),"Unknown")</f>
        <v>Unknown</v>
      </c>
      <c r="J67" s="22" t="str">
        <f aca="false">IF(C67&lt;=3,"Q1",IF(C67&lt;=6,"Q2",IF(C67&lt;=9,"Q3","Q4")))</f>
        <v>Q4</v>
      </c>
    </row>
    <row r="68" customFormat="false" ht="15" hidden="false" customHeight="false" outlineLevel="0" collapsed="false">
      <c r="A68" s="17" t="str">
        <f aca="false">Raw_Transactions!A68</f>
        <v>TXN-1067</v>
      </c>
      <c r="B68" s="17" t="str">
        <f aca="false">Raw_Transactions!B68</f>
        <v>11/07/2024</v>
      </c>
      <c r="C68" s="17" t="n">
        <f aca="false">IFERROR(VALUE(MID(Raw_Transactions!B68,4,2)),"")</f>
        <v>7</v>
      </c>
      <c r="D68" s="37" t="str">
        <f aca="false">IFERROR(xlookup(Raw_Transactions!C68,$L$2:$L$11,$M$2:$M$11,"Unknown"),"Unknown")</f>
        <v>Unknown</v>
      </c>
      <c r="E68" s="38" t="str">
        <f aca="false">Raw_Transactions!D68</f>
        <v>Consulting Fees</v>
      </c>
      <c r="F68" s="38" t="str">
        <f aca="false">Raw_Transactions!E68</f>
        <v>IT audit consultant</v>
      </c>
      <c r="G68" s="39" t="n">
        <f aca="false">Raw_Transactions!F68</f>
        <v>240526.58</v>
      </c>
      <c r="H68" s="17" t="str">
        <f aca="false">Raw_Transactions!G68</f>
        <v>Bello R.</v>
      </c>
      <c r="I68" s="40" t="str">
        <f aca="false">IFERROR(xlookup(Raw_Transactions!H68,$O$2:$O$6,$P$2:$P$6,"Unknown"),"Unknown")</f>
        <v>Unknown</v>
      </c>
      <c r="J68" s="17" t="str">
        <f aca="false">IF(C68&lt;=3,"Q1",IF(C68&lt;=6,"Q2",IF(C68&lt;=9,"Q3","Q4")))</f>
        <v>Q3</v>
      </c>
    </row>
    <row r="69" customFormat="false" ht="15" hidden="false" customHeight="false" outlineLevel="0" collapsed="false">
      <c r="A69" s="22" t="str">
        <f aca="false">Raw_Transactions!A69</f>
        <v>TXN-1068</v>
      </c>
      <c r="B69" s="22" t="str">
        <f aca="false">Raw_Transactions!B69</f>
        <v>16/02/2024</v>
      </c>
      <c r="C69" s="22" t="n">
        <f aca="false">IFERROR(VALUE(MID(Raw_Transactions!B69,4,2)),"")</f>
        <v>2</v>
      </c>
      <c r="D69" s="43" t="str">
        <f aca="false">IFERROR(xlookup(Raw_Transactions!C69,$L$2:$L$11,$M$2:$M$11,"Unknown"),"Unknown")</f>
        <v>Unknown</v>
      </c>
      <c r="E69" s="44" t="str">
        <f aca="false">Raw_Transactions!D69</f>
        <v>Training</v>
      </c>
      <c r="F69" s="44" t="str">
        <f aca="false">Raw_Transactions!E69</f>
        <v>Data analytics course</v>
      </c>
      <c r="G69" s="45" t="n">
        <f aca="false">Raw_Transactions!F69</f>
        <v>1146437.82</v>
      </c>
      <c r="H69" s="22" t="str">
        <f aca="false">Raw_Transactions!G69</f>
        <v>Chukwu A.</v>
      </c>
      <c r="I69" s="46" t="str">
        <f aca="false">IFERROR(xlookup(Raw_Transactions!H69,$O$2:$O$6,$P$2:$P$6,"Unknown"),"Unknown")</f>
        <v>Unknown</v>
      </c>
      <c r="J69" s="22" t="str">
        <f aca="false">IF(C69&lt;=3,"Q1",IF(C69&lt;=6,"Q2",IF(C69&lt;=9,"Q3","Q4")))</f>
        <v>Q1</v>
      </c>
    </row>
    <row r="70" customFormat="false" ht="15" hidden="false" customHeight="false" outlineLevel="0" collapsed="false">
      <c r="A70" s="17" t="str">
        <f aca="false">Raw_Transactions!A70</f>
        <v>TXN-1069</v>
      </c>
      <c r="B70" s="17" t="str">
        <f aca="false">Raw_Transactions!B70</f>
        <v>02/11/2024</v>
      </c>
      <c r="C70" s="17" t="n">
        <f aca="false">IFERROR(VALUE(MID(Raw_Transactions!B70,4,2)),"")</f>
        <v>11</v>
      </c>
      <c r="D70" s="37" t="str">
        <f aca="false">IFERROR(xlookup(Raw_Transactions!C70,$L$2:$L$11,$M$2:$M$11,"Unknown"),"Unknown")</f>
        <v>Unknown</v>
      </c>
      <c r="E70" s="38" t="str">
        <f aca="false">Raw_Transactions!D70</f>
        <v>Office Supplies</v>
      </c>
      <c r="F70" s="38" t="str">
        <f aca="false">Raw_Transactions!E70</f>
        <v>Office furniture</v>
      </c>
      <c r="G70" s="39" t="n">
        <f aca="false">Raw_Transactions!F70</f>
        <v>322753.39</v>
      </c>
      <c r="H70" s="17" t="str">
        <f aca="false">Raw_Transactions!G70</f>
        <v>Chukwu A.</v>
      </c>
      <c r="I70" s="40" t="str">
        <f aca="false">IFERROR(xlookup(Raw_Transactions!H70,$O$2:$O$6,$P$2:$P$6,"Unknown"),"Unknown")</f>
        <v>Unknown</v>
      </c>
      <c r="J70" s="17" t="str">
        <f aca="false">IF(C70&lt;=3,"Q1",IF(C70&lt;=6,"Q2",IF(C70&lt;=9,"Q3","Q4")))</f>
        <v>Q4</v>
      </c>
    </row>
    <row r="71" customFormat="false" ht="15" hidden="false" customHeight="false" outlineLevel="0" collapsed="false">
      <c r="A71" s="22" t="str">
        <f aca="false">Raw_Transactions!A71</f>
        <v>TXN-1070</v>
      </c>
      <c r="B71" s="22" t="str">
        <f aca="false">Raw_Transactions!B71</f>
        <v>04/11/2024</v>
      </c>
      <c r="C71" s="22" t="n">
        <f aca="false">IFERROR(VALUE(MID(Raw_Transactions!B71,4,2)),"")</f>
        <v>11</v>
      </c>
      <c r="D71" s="43" t="str">
        <f aca="false">IFERROR(xlookup(Raw_Transactions!C71,$L$2:$L$11,$M$2:$M$11,"Unknown"),"Unknown")</f>
        <v>Unknown</v>
      </c>
      <c r="E71" s="44" t="str">
        <f aca="false">Raw_Transactions!D71</f>
        <v>Travel &amp; Transport</v>
      </c>
      <c r="F71" s="44" t="str">
        <f aca="false">Raw_Transactions!E71</f>
        <v>Client visit – Abuja</v>
      </c>
      <c r="G71" s="45" t="n">
        <f aca="false">Raw_Transactions!F71</f>
        <v>581101.07</v>
      </c>
      <c r="H71" s="22" t="str">
        <f aca="false">Raw_Transactions!G71</f>
        <v>Okafor M.</v>
      </c>
      <c r="I71" s="46" t="str">
        <f aca="false">IFERROR(xlookup(Raw_Transactions!H71,$O$2:$O$6,$P$2:$P$6,"Unknown"),"Unknown")</f>
        <v>Unknown</v>
      </c>
      <c r="J71" s="22" t="str">
        <f aca="false">IF(C71&lt;=3,"Q1",IF(C71&lt;=6,"Q2",IF(C71&lt;=9,"Q3","Q4")))</f>
        <v>Q4</v>
      </c>
    </row>
    <row r="72" customFormat="false" ht="15" hidden="false" customHeight="false" outlineLevel="0" collapsed="false">
      <c r="A72" s="17" t="str">
        <f aca="false">Raw_Transactions!A72</f>
        <v>TXN-1071</v>
      </c>
      <c r="B72" s="17" t="str">
        <f aca="false">Raw_Transactions!B72</f>
        <v>23/12/2024</v>
      </c>
      <c r="C72" s="17" t="n">
        <f aca="false">IFERROR(VALUE(MID(Raw_Transactions!B72,4,2)),"")</f>
        <v>12</v>
      </c>
      <c r="D72" s="37" t="str">
        <f aca="false">IFERROR(xlookup(Raw_Transactions!C72,$L$2:$L$11,$M$2:$M$11,"Unknown"),"Unknown")</f>
        <v>Unknown</v>
      </c>
      <c r="E72" s="38" t="str">
        <f aca="false">Raw_Transactions!D72</f>
        <v>Marketing</v>
      </c>
      <c r="F72" s="38" t="str">
        <f aca="false">Raw_Transactions!E72</f>
        <v>Social media ads</v>
      </c>
      <c r="G72" s="39" t="n">
        <f aca="false">Raw_Transactions!F72</f>
        <v>2732428.73</v>
      </c>
      <c r="H72" s="17" t="str">
        <f aca="false">Raw_Transactions!G72</f>
        <v>Chukwu A.</v>
      </c>
      <c r="I72" s="40" t="str">
        <f aca="false">IFERROR(xlookup(Raw_Transactions!H72,$O$2:$O$6,$P$2:$P$6,"Unknown"),"Unknown")</f>
        <v>Unknown</v>
      </c>
      <c r="J72" s="17" t="str">
        <f aca="false">IF(C72&lt;=3,"Q1",IF(C72&lt;=6,"Q2",IF(C72&lt;=9,"Q3","Q4")))</f>
        <v>Q4</v>
      </c>
    </row>
    <row r="73" customFormat="false" ht="15" hidden="false" customHeight="false" outlineLevel="0" collapsed="false">
      <c r="A73" s="22" t="str">
        <f aca="false">Raw_Transactions!A73</f>
        <v>TXN-1072</v>
      </c>
      <c r="B73" s="22" t="str">
        <f aca="false">Raw_Transactions!B73</f>
        <v>22/10/2024</v>
      </c>
      <c r="C73" s="22" t="n">
        <f aca="false">IFERROR(VALUE(MID(Raw_Transactions!B73,4,2)),"")</f>
        <v>10</v>
      </c>
      <c r="D73" s="43" t="str">
        <f aca="false">IFERROR(xlookup(Raw_Transactions!C73,$L$2:$L$11,$M$2:$M$11,"Unknown"),"Unknown")</f>
        <v>Unknown</v>
      </c>
      <c r="E73" s="44" t="str">
        <f aca="false">Raw_Transactions!D73</f>
        <v>Miscellaneous</v>
      </c>
      <c r="F73" s="44" t="str">
        <f aca="false">Raw_Transactions!E73</f>
        <v>Staff welfare</v>
      </c>
      <c r="G73" s="45" t="n">
        <f aca="false">Raw_Transactions!F73</f>
        <v>4181058.95</v>
      </c>
      <c r="H73" s="22" t="str">
        <f aca="false">Raw_Transactions!G73</f>
        <v>Nwachukwu F.</v>
      </c>
      <c r="I73" s="46" t="str">
        <f aca="false">IFERROR(xlookup(Raw_Transactions!H73,$O$2:$O$6,$P$2:$P$6,"Unknown"),"Unknown")</f>
        <v>Unknown</v>
      </c>
      <c r="J73" s="22" t="str">
        <f aca="false">IF(C73&lt;=3,"Q1",IF(C73&lt;=6,"Q2",IF(C73&lt;=9,"Q3","Q4")))</f>
        <v>Q4</v>
      </c>
    </row>
    <row r="74" customFormat="false" ht="15" hidden="false" customHeight="false" outlineLevel="0" collapsed="false">
      <c r="A74" s="17" t="str">
        <f aca="false">Raw_Transactions!A74</f>
        <v>TXN-1073</v>
      </c>
      <c r="B74" s="17" t="str">
        <f aca="false">Raw_Transactions!B74</f>
        <v>08/11/2024</v>
      </c>
      <c r="C74" s="17" t="n">
        <f aca="false">IFERROR(VALUE(MID(Raw_Transactions!B74,4,2)),"")</f>
        <v>11</v>
      </c>
      <c r="D74" s="37" t="str">
        <f aca="false">IFERROR(xlookup(Raw_Transactions!C74,$L$2:$L$11,$M$2:$M$11,"Unknown"),"Unknown")</f>
        <v>Unknown</v>
      </c>
      <c r="E74" s="38" t="str">
        <f aca="false">Raw_Transactions!D74</f>
        <v>Software Licenses</v>
      </c>
      <c r="F74" s="38" t="str">
        <f aca="false">Raw_Transactions!E74</f>
        <v>Accounting software</v>
      </c>
      <c r="G74" s="39" t="n">
        <f aca="false">Raw_Transactions!F74</f>
        <v>3112405.66</v>
      </c>
      <c r="H74" s="17" t="str">
        <f aca="false">Raw_Transactions!G74</f>
        <v>Chukwu A.</v>
      </c>
      <c r="I74" s="40" t="str">
        <f aca="false">IFERROR(xlookup(Raw_Transactions!H74,$O$2:$O$6,$P$2:$P$6,"Unknown"),"Unknown")</f>
        <v>Unknown</v>
      </c>
      <c r="J74" s="17" t="str">
        <f aca="false">IF(C74&lt;=3,"Q1",IF(C74&lt;=6,"Q2",IF(C74&lt;=9,"Q3","Q4")))</f>
        <v>Q4</v>
      </c>
    </row>
    <row r="75" customFormat="false" ht="15" hidden="false" customHeight="false" outlineLevel="0" collapsed="false">
      <c r="A75" s="22" t="str">
        <f aca="false">Raw_Transactions!A75</f>
        <v>TXN-1074</v>
      </c>
      <c r="B75" s="22" t="str">
        <f aca="false">Raw_Transactions!B75</f>
        <v>18/06/2024</v>
      </c>
      <c r="C75" s="22" t="n">
        <f aca="false">IFERROR(VALUE(MID(Raw_Transactions!B75,4,2)),"")</f>
        <v>6</v>
      </c>
      <c r="D75" s="43" t="str">
        <f aca="false">IFERROR(xlookup(Raw_Transactions!C75,$L$2:$L$11,$M$2:$M$11,"Unknown"),"Unknown")</f>
        <v>Unknown</v>
      </c>
      <c r="E75" s="44" t="str">
        <f aca="false">Raw_Transactions!D75</f>
        <v>Software Licenses</v>
      </c>
      <c r="F75" s="44" t="str">
        <f aca="false">Raw_Transactions!E75</f>
        <v>Accounting software</v>
      </c>
      <c r="G75" s="45" t="n">
        <f aca="false">Raw_Transactions!F75</f>
        <v>3525119.53</v>
      </c>
      <c r="H75" s="22" t="str">
        <f aca="false">Raw_Transactions!G75</f>
        <v>Nwachukwu F.</v>
      </c>
      <c r="I75" s="46" t="str">
        <f aca="false">IFERROR(xlookup(Raw_Transactions!H75,$O$2:$O$6,$P$2:$P$6,"Unknown"),"Unknown")</f>
        <v>Unknown</v>
      </c>
      <c r="J75" s="22" t="str">
        <f aca="false">IF(C75&lt;=3,"Q1",IF(C75&lt;=6,"Q2",IF(C75&lt;=9,"Q3","Q4")))</f>
        <v>Q2</v>
      </c>
    </row>
    <row r="76" customFormat="false" ht="15" hidden="false" customHeight="false" outlineLevel="0" collapsed="false">
      <c r="A76" s="17" t="str">
        <f aca="false">Raw_Transactions!A76</f>
        <v>TXN-1075</v>
      </c>
      <c r="B76" s="17" t="str">
        <f aca="false">Raw_Transactions!B76</f>
        <v>21/06/2024</v>
      </c>
      <c r="C76" s="17" t="n">
        <f aca="false">IFERROR(VALUE(MID(Raw_Transactions!B76,4,2)),"")</f>
        <v>6</v>
      </c>
      <c r="D76" s="37" t="str">
        <f aca="false">IFERROR(xlookup(Raw_Transactions!C76,$L$2:$L$11,$M$2:$M$11,"Unknown"),"Unknown")</f>
        <v>Unknown</v>
      </c>
      <c r="E76" s="38" t="str">
        <f aca="false">Raw_Transactions!D76</f>
        <v>Utilities</v>
      </c>
      <c r="F76" s="38" t="str">
        <f aca="false">Raw_Transactions!E76</f>
        <v>Internet subscription</v>
      </c>
      <c r="G76" s="39" t="n">
        <f aca="false">Raw_Transactions!F76</f>
        <v>488341.83</v>
      </c>
      <c r="H76" s="17" t="str">
        <f aca="false">Raw_Transactions!G76</f>
        <v>Nwachukwu F.</v>
      </c>
      <c r="I76" s="40" t="str">
        <f aca="false">IFERROR(xlookup(Raw_Transactions!H76,$O$2:$O$6,$P$2:$P$6,"Unknown"),"Unknown")</f>
        <v>Unknown</v>
      </c>
      <c r="J76" s="17" t="str">
        <f aca="false">IF(C76&lt;=3,"Q1",IF(C76&lt;=6,"Q2",IF(C76&lt;=9,"Q3","Q4")))</f>
        <v>Q2</v>
      </c>
    </row>
    <row r="77" customFormat="false" ht="15" hidden="false" customHeight="false" outlineLevel="0" collapsed="false">
      <c r="A77" s="22" t="str">
        <f aca="false">Raw_Transactions!A77</f>
        <v>TXN-1076</v>
      </c>
      <c r="B77" s="22" t="str">
        <f aca="false">Raw_Transactions!B77</f>
        <v>25/09/2024</v>
      </c>
      <c r="C77" s="22" t="n">
        <f aca="false">IFERROR(VALUE(MID(Raw_Transactions!B77,4,2)),"")</f>
        <v>9</v>
      </c>
      <c r="D77" s="43" t="str">
        <f aca="false">IFERROR(xlookup(Raw_Transactions!C77,$L$2:$L$11,$M$2:$M$11,"Unknown"),"Unknown")</f>
        <v>Unknown</v>
      </c>
      <c r="E77" s="44" t="str">
        <f aca="false">Raw_Transactions!D77</f>
        <v>Training</v>
      </c>
      <c r="F77" s="44" t="str">
        <f aca="false">Raw_Transactions!E77</f>
        <v>PMP certification</v>
      </c>
      <c r="G77" s="45" t="n">
        <f aca="false">Raw_Transactions!F77</f>
        <v>3639773.5</v>
      </c>
      <c r="H77" s="22" t="str">
        <f aca="false">Raw_Transactions!G77</f>
        <v>Nwachukwu F.</v>
      </c>
      <c r="I77" s="46" t="str">
        <f aca="false">IFERROR(xlookup(Raw_Transactions!H77,$O$2:$O$6,$P$2:$P$6,"Unknown"),"Unknown")</f>
        <v>Unknown</v>
      </c>
      <c r="J77" s="22" t="str">
        <f aca="false">IF(C77&lt;=3,"Q1",IF(C77&lt;=6,"Q2",IF(C77&lt;=9,"Q3","Q4")))</f>
        <v>Q3</v>
      </c>
    </row>
    <row r="78" customFormat="false" ht="15" hidden="false" customHeight="false" outlineLevel="0" collapsed="false">
      <c r="A78" s="17" t="str">
        <f aca="false">Raw_Transactions!A78</f>
        <v>TXN-1077</v>
      </c>
      <c r="B78" s="17" t="str">
        <f aca="false">Raw_Transactions!B78</f>
        <v>09/02/2024</v>
      </c>
      <c r="C78" s="17" t="n">
        <f aca="false">IFERROR(VALUE(MID(Raw_Transactions!B78,4,2)),"")</f>
        <v>2</v>
      </c>
      <c r="D78" s="37" t="str">
        <f aca="false">IFERROR(xlookup(Raw_Transactions!C78,$L$2:$L$11,$M$2:$M$11,"Unknown"),"Unknown")</f>
        <v>Unknown</v>
      </c>
      <c r="E78" s="38" t="str">
        <f aca="false">Raw_Transactions!D78</f>
        <v>Training</v>
      </c>
      <c r="F78" s="38" t="str">
        <f aca="false">Raw_Transactions!E78</f>
        <v>Data analytics course</v>
      </c>
      <c r="G78" s="39" t="n">
        <f aca="false">Raw_Transactions!F78</f>
        <v>3834933.52</v>
      </c>
      <c r="H78" s="17" t="str">
        <f aca="false">Raw_Transactions!G78</f>
        <v>Nwachukwu F.</v>
      </c>
      <c r="I78" s="40" t="str">
        <f aca="false">IFERROR(xlookup(Raw_Transactions!H78,$O$2:$O$6,$P$2:$P$6,"Unknown"),"Unknown")</f>
        <v>Unknown</v>
      </c>
      <c r="J78" s="17" t="str">
        <f aca="false">IF(C78&lt;=3,"Q1",IF(C78&lt;=6,"Q2",IF(C78&lt;=9,"Q3","Q4")))</f>
        <v>Q1</v>
      </c>
    </row>
    <row r="79" customFormat="false" ht="15" hidden="false" customHeight="false" outlineLevel="0" collapsed="false">
      <c r="A79" s="22" t="str">
        <f aca="false">Raw_Transactions!A79</f>
        <v>TXN-1078</v>
      </c>
      <c r="B79" s="22" t="str">
        <f aca="false">Raw_Transactions!B79</f>
        <v>16/01/2024</v>
      </c>
      <c r="C79" s="22" t="n">
        <f aca="false">IFERROR(VALUE(MID(Raw_Transactions!B79,4,2)),"")</f>
        <v>1</v>
      </c>
      <c r="D79" s="43" t="str">
        <f aca="false">IFERROR(xlookup(Raw_Transactions!C79,$L$2:$L$11,$M$2:$M$11,"Unknown"),"Unknown")</f>
        <v>Unknown</v>
      </c>
      <c r="E79" s="44" t="str">
        <f aca="false">Raw_Transactions!D79</f>
        <v>Miscellaneous</v>
      </c>
      <c r="F79" s="44" t="str">
        <f aca="false">Raw_Transactions!E79</f>
        <v>Sundry items</v>
      </c>
      <c r="G79" s="45" t="n">
        <f aca="false">Raw_Transactions!F79</f>
        <v>1714767.03</v>
      </c>
      <c r="H79" s="22" t="str">
        <f aca="false">Raw_Transactions!G79</f>
        <v>Adeyemi T.</v>
      </c>
      <c r="I79" s="46" t="str">
        <f aca="false">IFERROR(xlookup(Raw_Transactions!H79,$O$2:$O$6,$P$2:$P$6,"Unknown"),"Unknown")</f>
        <v>Unknown</v>
      </c>
      <c r="J79" s="22" t="str">
        <f aca="false">IF(C79&lt;=3,"Q1",IF(C79&lt;=6,"Q2",IF(C79&lt;=9,"Q3","Q4")))</f>
        <v>Q1</v>
      </c>
    </row>
    <row r="80" customFormat="false" ht="15" hidden="false" customHeight="false" outlineLevel="0" collapsed="false">
      <c r="A80" s="17" t="str">
        <f aca="false">Raw_Transactions!A80</f>
        <v>TXN-1079</v>
      </c>
      <c r="B80" s="17" t="str">
        <f aca="false">Raw_Transactions!B80</f>
        <v>23/10/2024</v>
      </c>
      <c r="C80" s="17" t="n">
        <f aca="false">IFERROR(VALUE(MID(Raw_Transactions!B80,4,2)),"")</f>
        <v>10</v>
      </c>
      <c r="D80" s="37" t="str">
        <f aca="false">IFERROR(xlookup(Raw_Transactions!C80,$L$2:$L$11,$M$2:$M$11,"Unknown"),"Unknown")</f>
        <v>Unknown</v>
      </c>
      <c r="E80" s="38" t="str">
        <f aca="false">Raw_Transactions!D80</f>
        <v>Training</v>
      </c>
      <c r="F80" s="38" t="str">
        <f aca="false">Raw_Transactions!E80</f>
        <v>Data analytics course</v>
      </c>
      <c r="G80" s="39" t="n">
        <f aca="false">Raw_Transactions!F80</f>
        <v>1269268.32</v>
      </c>
      <c r="H80" s="17" t="str">
        <f aca="false">Raw_Transactions!G80</f>
        <v>Adeyemi T.</v>
      </c>
      <c r="I80" s="40" t="str">
        <f aca="false">IFERROR(xlookup(Raw_Transactions!H80,$O$2:$O$6,$P$2:$P$6,"Unknown"),"Unknown")</f>
        <v>Unknown</v>
      </c>
      <c r="J80" s="17" t="str">
        <f aca="false">IF(C80&lt;=3,"Q1",IF(C80&lt;=6,"Q2",IF(C80&lt;=9,"Q3","Q4")))</f>
        <v>Q4</v>
      </c>
    </row>
    <row r="81" customFormat="false" ht="15" hidden="false" customHeight="false" outlineLevel="0" collapsed="false">
      <c r="A81" s="22" t="str">
        <f aca="false">Raw_Transactions!A81</f>
        <v>TXN-1080</v>
      </c>
      <c r="B81" s="22" t="str">
        <f aca="false">Raw_Transactions!B81</f>
        <v>18/08/2024</v>
      </c>
      <c r="C81" s="22" t="n">
        <f aca="false">IFERROR(VALUE(MID(Raw_Transactions!B81,4,2)),"")</f>
        <v>8</v>
      </c>
      <c r="D81" s="43" t="str">
        <f aca="false">IFERROR(xlookup(Raw_Transactions!C81,$L$2:$L$11,$M$2:$M$11,"Unknown"),"Unknown")</f>
        <v>Unknown</v>
      </c>
      <c r="E81" s="44" t="str">
        <f aca="false">Raw_Transactions!D81</f>
        <v>Software Licenses</v>
      </c>
      <c r="F81" s="44" t="str">
        <f aca="false">Raw_Transactions!E81</f>
        <v>Microsoft 365 renewal</v>
      </c>
      <c r="G81" s="45" t="n">
        <f aca="false">Raw_Transactions!F81</f>
        <v>3244534.87</v>
      </c>
      <c r="H81" s="22" t="str">
        <f aca="false">Raw_Transactions!G81</f>
        <v>Bello R.</v>
      </c>
      <c r="I81" s="46" t="str">
        <f aca="false">IFERROR(xlookup(Raw_Transactions!H81,$O$2:$O$6,$P$2:$P$6,"Unknown"),"Unknown")</f>
        <v>Unknown</v>
      </c>
      <c r="J81" s="22" t="str">
        <f aca="false">IF(C81&lt;=3,"Q1",IF(C81&lt;=6,"Q2",IF(C81&lt;=9,"Q3","Q4")))</f>
        <v>Q3</v>
      </c>
    </row>
    <row r="82" customFormat="false" ht="15" hidden="false" customHeight="false" outlineLevel="0" collapsed="false">
      <c r="A82" s="17" t="str">
        <f aca="false">Raw_Transactions!A82</f>
        <v>TXN-1081</v>
      </c>
      <c r="B82" s="17" t="str">
        <f aca="false">Raw_Transactions!B82</f>
        <v>13/04/2024</v>
      </c>
      <c r="C82" s="17" t="n">
        <f aca="false">IFERROR(VALUE(MID(Raw_Transactions!B82,4,2)),"")</f>
        <v>4</v>
      </c>
      <c r="D82" s="37" t="str">
        <f aca="false">IFERROR(xlookup(Raw_Transactions!C82,$L$2:$L$11,$M$2:$M$11,"Unknown"),"Unknown")</f>
        <v>Unknown</v>
      </c>
      <c r="E82" s="38" t="str">
        <f aca="false">Raw_Transactions!D82</f>
        <v>Consulting Fees</v>
      </c>
      <c r="F82" s="38" t="str">
        <f aca="false">Raw_Transactions!E82</f>
        <v>IT audit consultant</v>
      </c>
      <c r="G82" s="39" t="n">
        <f aca="false">Raw_Transactions!F82</f>
        <v>432344.28</v>
      </c>
      <c r="H82" s="17" t="str">
        <f aca="false">Raw_Transactions!G82</f>
        <v>Bello R.</v>
      </c>
      <c r="I82" s="40" t="str">
        <f aca="false">IFERROR(xlookup(Raw_Transactions!H82,$O$2:$O$6,$P$2:$P$6,"Unknown"),"Unknown")</f>
        <v>Unknown</v>
      </c>
      <c r="J82" s="17" t="str">
        <f aca="false">IF(C82&lt;=3,"Q1",IF(C82&lt;=6,"Q2",IF(C82&lt;=9,"Q3","Q4")))</f>
        <v>Q2</v>
      </c>
    </row>
    <row r="83" customFormat="false" ht="15" hidden="false" customHeight="false" outlineLevel="0" collapsed="false">
      <c r="A83" s="22" t="str">
        <f aca="false">Raw_Transactions!A83</f>
        <v>TXN-1082</v>
      </c>
      <c r="B83" s="22" t="str">
        <f aca="false">Raw_Transactions!B83</f>
        <v>24/07/2024</v>
      </c>
      <c r="C83" s="22" t="n">
        <f aca="false">IFERROR(VALUE(MID(Raw_Transactions!B83,4,2)),"")</f>
        <v>7</v>
      </c>
      <c r="D83" s="43" t="str">
        <f aca="false">IFERROR(xlookup(Raw_Transactions!C83,$L$2:$L$11,$M$2:$M$11,"Unknown"),"Unknown")</f>
        <v>Unknown</v>
      </c>
      <c r="E83" s="44" t="str">
        <f aca="false">Raw_Transactions!D83</f>
        <v>Consulting Fees</v>
      </c>
      <c r="F83" s="44" t="str">
        <f aca="false">Raw_Transactions!E83</f>
        <v>Financial review</v>
      </c>
      <c r="G83" s="45" t="n">
        <f aca="false">Raw_Transactions!F83</f>
        <v>2396184.86</v>
      </c>
      <c r="H83" s="22" t="str">
        <f aca="false">Raw_Transactions!G83</f>
        <v>Okafor M.</v>
      </c>
      <c r="I83" s="46" t="str">
        <f aca="false">IFERROR(xlookup(Raw_Transactions!H83,$O$2:$O$6,$P$2:$P$6,"Unknown"),"Unknown")</f>
        <v>Unknown</v>
      </c>
      <c r="J83" s="22" t="str">
        <f aca="false">IF(C83&lt;=3,"Q1",IF(C83&lt;=6,"Q2",IF(C83&lt;=9,"Q3","Q4")))</f>
        <v>Q3</v>
      </c>
    </row>
    <row r="84" customFormat="false" ht="15" hidden="false" customHeight="false" outlineLevel="0" collapsed="false">
      <c r="A84" s="17" t="str">
        <f aca="false">Raw_Transactions!A84</f>
        <v>TXN-1083</v>
      </c>
      <c r="B84" s="17" t="str">
        <f aca="false">Raw_Transactions!B84</f>
        <v>24/02/2024</v>
      </c>
      <c r="C84" s="17" t="n">
        <f aca="false">IFERROR(VALUE(MID(Raw_Transactions!B84,4,2)),"")</f>
        <v>2</v>
      </c>
      <c r="D84" s="37" t="str">
        <f aca="false">IFERROR(xlookup(Raw_Transactions!C84,$L$2:$L$11,$M$2:$M$11,"Unknown"),"Unknown")</f>
        <v>Unknown</v>
      </c>
      <c r="E84" s="38" t="str">
        <f aca="false">Raw_Transactions!D84</f>
        <v>Training</v>
      </c>
      <c r="F84" s="38" t="str">
        <f aca="false">Raw_Transactions!E84</f>
        <v>Data analytics course</v>
      </c>
      <c r="G84" s="39" t="n">
        <f aca="false">Raw_Transactions!F84</f>
        <v>1142545.49</v>
      </c>
      <c r="H84" s="17" t="str">
        <f aca="false">Raw_Transactions!G84</f>
        <v>Bello R.</v>
      </c>
      <c r="I84" s="40" t="str">
        <f aca="false">IFERROR(xlookup(Raw_Transactions!H84,$O$2:$O$6,$P$2:$P$6,"Unknown"),"Unknown")</f>
        <v>Unknown</v>
      </c>
      <c r="J84" s="17" t="str">
        <f aca="false">IF(C84&lt;=3,"Q1",IF(C84&lt;=6,"Q2",IF(C84&lt;=9,"Q3","Q4")))</f>
        <v>Q1</v>
      </c>
    </row>
    <row r="85" customFormat="false" ht="15" hidden="false" customHeight="false" outlineLevel="0" collapsed="false">
      <c r="A85" s="22" t="str">
        <f aca="false">Raw_Transactions!A85</f>
        <v>TXN-1084</v>
      </c>
      <c r="B85" s="22" t="str">
        <f aca="false">Raw_Transactions!B85</f>
        <v>19/12/2024</v>
      </c>
      <c r="C85" s="22" t="n">
        <f aca="false">IFERROR(VALUE(MID(Raw_Transactions!B85,4,2)),"")</f>
        <v>12</v>
      </c>
      <c r="D85" s="43" t="str">
        <f aca="false">IFERROR(xlookup(Raw_Transactions!C85,$L$2:$L$11,$M$2:$M$11,"Unknown"),"Unknown")</f>
        <v>Unknown</v>
      </c>
      <c r="E85" s="44" t="str">
        <f aca="false">Raw_Transactions!D85</f>
        <v>Office Supplies</v>
      </c>
      <c r="F85" s="44" t="str">
        <f aca="false">Raw_Transactions!E85</f>
        <v>Office furniture</v>
      </c>
      <c r="G85" s="45" t="n">
        <f aca="false">Raw_Transactions!F85</f>
        <v>2186630.66</v>
      </c>
      <c r="H85" s="22" t="str">
        <f aca="false">Raw_Transactions!G85</f>
        <v>Okafor M.</v>
      </c>
      <c r="I85" s="46" t="str">
        <f aca="false">IFERROR(xlookup(Raw_Transactions!H85,$O$2:$O$6,$P$2:$P$6,"Unknown"),"Unknown")</f>
        <v>Unknown</v>
      </c>
      <c r="J85" s="22" t="str">
        <f aca="false">IF(C85&lt;=3,"Q1",IF(C85&lt;=6,"Q2",IF(C85&lt;=9,"Q3","Q4")))</f>
        <v>Q4</v>
      </c>
    </row>
    <row r="86" customFormat="false" ht="15" hidden="false" customHeight="false" outlineLevel="0" collapsed="false">
      <c r="A86" s="17" t="str">
        <f aca="false">Raw_Transactions!A86</f>
        <v>TXN-1085</v>
      </c>
      <c r="B86" s="17" t="str">
        <f aca="false">Raw_Transactions!B86</f>
        <v>01/05/2024</v>
      </c>
      <c r="C86" s="17" t="n">
        <f aca="false">IFERROR(VALUE(MID(Raw_Transactions!B86,4,2)),"")</f>
        <v>5</v>
      </c>
      <c r="D86" s="37" t="str">
        <f aca="false">IFERROR(xlookup(Raw_Transactions!C86,$L$2:$L$11,$M$2:$M$11,"Unknown"),"Unknown")</f>
        <v>Unknown</v>
      </c>
      <c r="E86" s="38" t="str">
        <f aca="false">Raw_Transactions!D86</f>
        <v>Training</v>
      </c>
      <c r="F86" s="38" t="str">
        <f aca="false">Raw_Transactions!E86</f>
        <v>Excel training workshop</v>
      </c>
      <c r="G86" s="39" t="n">
        <f aca="false">Raw_Transactions!F86</f>
        <v>1633551.6</v>
      </c>
      <c r="H86" s="17" t="str">
        <f aca="false">Raw_Transactions!G86</f>
        <v>Okafor M.</v>
      </c>
      <c r="I86" s="40" t="str">
        <f aca="false">IFERROR(xlookup(Raw_Transactions!H86,$O$2:$O$6,$P$2:$P$6,"Unknown"),"Unknown")</f>
        <v>Unknown</v>
      </c>
      <c r="J86" s="17" t="str">
        <f aca="false">IF(C86&lt;=3,"Q1",IF(C86&lt;=6,"Q2",IF(C86&lt;=9,"Q3","Q4")))</f>
        <v>Q2</v>
      </c>
    </row>
    <row r="87" customFormat="false" ht="15" hidden="false" customHeight="false" outlineLevel="0" collapsed="false">
      <c r="A87" s="22" t="str">
        <f aca="false">Raw_Transactions!A87</f>
        <v>TXN-1086</v>
      </c>
      <c r="B87" s="22" t="str">
        <f aca="false">Raw_Transactions!B87</f>
        <v>28/11/2024</v>
      </c>
      <c r="C87" s="22" t="n">
        <f aca="false">IFERROR(VALUE(MID(Raw_Transactions!B87,4,2)),"")</f>
        <v>11</v>
      </c>
      <c r="D87" s="43" t="str">
        <f aca="false">IFERROR(xlookup(Raw_Transactions!C87,$L$2:$L$11,$M$2:$M$11,"Unknown"),"Unknown")</f>
        <v>Unknown</v>
      </c>
      <c r="E87" s="44" t="str">
        <f aca="false">Raw_Transactions!D87</f>
        <v>Training</v>
      </c>
      <c r="F87" s="44" t="str">
        <f aca="false">Raw_Transactions!E87</f>
        <v>PMP certification</v>
      </c>
      <c r="G87" s="45" t="n">
        <f aca="false">Raw_Transactions!F87</f>
        <v>4249241.92</v>
      </c>
      <c r="H87" s="22" t="str">
        <f aca="false">Raw_Transactions!G87</f>
        <v>Nwachukwu F.</v>
      </c>
      <c r="I87" s="46" t="str">
        <f aca="false">IFERROR(xlookup(Raw_Transactions!H87,$O$2:$O$6,$P$2:$P$6,"Unknown"),"Unknown")</f>
        <v>Unknown</v>
      </c>
      <c r="J87" s="22" t="str">
        <f aca="false">IF(C87&lt;=3,"Q1",IF(C87&lt;=6,"Q2",IF(C87&lt;=9,"Q3","Q4")))</f>
        <v>Q4</v>
      </c>
    </row>
    <row r="88" customFormat="false" ht="15" hidden="false" customHeight="false" outlineLevel="0" collapsed="false">
      <c r="A88" s="17" t="str">
        <f aca="false">Raw_Transactions!A88</f>
        <v>TXN-1087</v>
      </c>
      <c r="B88" s="17" t="str">
        <f aca="false">Raw_Transactions!B88</f>
        <v>06/06/2024</v>
      </c>
      <c r="C88" s="17" t="n">
        <f aca="false">IFERROR(VALUE(MID(Raw_Transactions!B88,4,2)),"")</f>
        <v>6</v>
      </c>
      <c r="D88" s="37" t="str">
        <f aca="false">IFERROR(xlookup(Raw_Transactions!C88,$L$2:$L$11,$M$2:$M$11,"Unknown"),"Unknown")</f>
        <v>Unknown</v>
      </c>
      <c r="E88" s="38" t="str">
        <f aca="false">Raw_Transactions!D88</f>
        <v>Training</v>
      </c>
      <c r="F88" s="38" t="str">
        <f aca="false">Raw_Transactions!E88</f>
        <v>Data analytics course</v>
      </c>
      <c r="G88" s="39" t="n">
        <f aca="false">Raw_Transactions!F88</f>
        <v>2162033.23</v>
      </c>
      <c r="H88" s="17" t="str">
        <f aca="false">Raw_Transactions!G88</f>
        <v>Chukwu A.</v>
      </c>
      <c r="I88" s="40" t="str">
        <f aca="false">IFERROR(xlookup(Raw_Transactions!H88,$O$2:$O$6,$P$2:$P$6,"Unknown"),"Unknown")</f>
        <v>Unknown</v>
      </c>
      <c r="J88" s="17" t="str">
        <f aca="false">IF(C88&lt;=3,"Q1",IF(C88&lt;=6,"Q2",IF(C88&lt;=9,"Q3","Q4")))</f>
        <v>Q2</v>
      </c>
    </row>
    <row r="89" customFormat="false" ht="15" hidden="false" customHeight="false" outlineLevel="0" collapsed="false">
      <c r="A89" s="22" t="str">
        <f aca="false">Raw_Transactions!A89</f>
        <v>TXN-1088</v>
      </c>
      <c r="B89" s="22" t="str">
        <f aca="false">Raw_Transactions!B89</f>
        <v>19/02/2024</v>
      </c>
      <c r="C89" s="22" t="n">
        <f aca="false">IFERROR(VALUE(MID(Raw_Transactions!B89,4,2)),"")</f>
        <v>2</v>
      </c>
      <c r="D89" s="43" t="str">
        <f aca="false">IFERROR(xlookup(Raw_Transactions!C89,$L$2:$L$11,$M$2:$M$11,"Unknown"),"Unknown")</f>
        <v>Unknown</v>
      </c>
      <c r="E89" s="44" t="str">
        <f aca="false">Raw_Transactions!D89</f>
        <v>Software Licenses</v>
      </c>
      <c r="F89" s="44" t="str">
        <f aca="false">Raw_Transactions!E89</f>
        <v>Microsoft 365 renewal</v>
      </c>
      <c r="G89" s="45" t="n">
        <f aca="false">Raw_Transactions!F89</f>
        <v>1812172.88</v>
      </c>
      <c r="H89" s="22" t="str">
        <f aca="false">Raw_Transactions!G89</f>
        <v>Chukwu A.</v>
      </c>
      <c r="I89" s="46" t="str">
        <f aca="false">IFERROR(xlookup(Raw_Transactions!H89,$O$2:$O$6,$P$2:$P$6,"Unknown"),"Unknown")</f>
        <v>Unknown</v>
      </c>
      <c r="J89" s="22" t="str">
        <f aca="false">IF(C89&lt;=3,"Q1",IF(C89&lt;=6,"Q2",IF(C89&lt;=9,"Q3","Q4")))</f>
        <v>Q1</v>
      </c>
    </row>
    <row r="90" customFormat="false" ht="15" hidden="false" customHeight="false" outlineLevel="0" collapsed="false">
      <c r="A90" s="17" t="str">
        <f aca="false">Raw_Transactions!A90</f>
        <v>TXN-1089</v>
      </c>
      <c r="B90" s="17" t="str">
        <f aca="false">Raw_Transactions!B90</f>
        <v>20/07/2024</v>
      </c>
      <c r="C90" s="17" t="n">
        <f aca="false">IFERROR(VALUE(MID(Raw_Transactions!B90,4,2)),"")</f>
        <v>7</v>
      </c>
      <c r="D90" s="37" t="str">
        <f aca="false">IFERROR(xlookup(Raw_Transactions!C90,$L$2:$L$11,$M$2:$M$11,"Unknown"),"Unknown")</f>
        <v>Unknown</v>
      </c>
      <c r="E90" s="38" t="str">
        <f aca="false">Raw_Transactions!D90</f>
        <v>Office Supplies</v>
      </c>
      <c r="F90" s="38" t="str">
        <f aca="false">Raw_Transactions!E90</f>
        <v>Printer cartridges</v>
      </c>
      <c r="G90" s="39" t="n">
        <f aca="false">Raw_Transactions!F90</f>
        <v>2517957.56</v>
      </c>
      <c r="H90" s="17" t="str">
        <f aca="false">Raw_Transactions!G90</f>
        <v>Okafor M.</v>
      </c>
      <c r="I90" s="40" t="str">
        <f aca="false">IFERROR(xlookup(Raw_Transactions!H90,$O$2:$O$6,$P$2:$P$6,"Unknown"),"Unknown")</f>
        <v>Unknown</v>
      </c>
      <c r="J90" s="17" t="str">
        <f aca="false">IF(C90&lt;=3,"Q1",IF(C90&lt;=6,"Q2",IF(C90&lt;=9,"Q3","Q4")))</f>
        <v>Q3</v>
      </c>
    </row>
    <row r="91" customFormat="false" ht="15" hidden="false" customHeight="false" outlineLevel="0" collapsed="false">
      <c r="A91" s="22" t="str">
        <f aca="false">Raw_Transactions!A91</f>
        <v>TXN-1090</v>
      </c>
      <c r="B91" s="22" t="str">
        <f aca="false">Raw_Transactions!B91</f>
        <v>14/10/2024</v>
      </c>
      <c r="C91" s="22" t="n">
        <f aca="false">IFERROR(VALUE(MID(Raw_Transactions!B91,4,2)),"")</f>
        <v>10</v>
      </c>
      <c r="D91" s="43" t="str">
        <f aca="false">IFERROR(xlookup(Raw_Transactions!C91,$L$2:$L$11,$M$2:$M$11,"Unknown"),"Unknown")</f>
        <v>Unknown</v>
      </c>
      <c r="E91" s="44" t="str">
        <f aca="false">Raw_Transactions!D91</f>
        <v>Consulting Fees</v>
      </c>
      <c r="F91" s="44" t="str">
        <f aca="false">Raw_Transactions!E91</f>
        <v>Legal advisory</v>
      </c>
      <c r="G91" s="45" t="n">
        <f aca="false">Raw_Transactions!F91</f>
        <v>1348628.8</v>
      </c>
      <c r="H91" s="22" t="str">
        <f aca="false">Raw_Transactions!G91</f>
        <v>Adeyemi T.</v>
      </c>
      <c r="I91" s="46" t="str">
        <f aca="false">IFERROR(xlookup(Raw_Transactions!H91,$O$2:$O$6,$P$2:$P$6,"Unknown"),"Unknown")</f>
        <v>Unknown</v>
      </c>
      <c r="J91" s="22" t="str">
        <f aca="false">IF(C91&lt;=3,"Q1",IF(C91&lt;=6,"Q2",IF(C91&lt;=9,"Q3","Q4")))</f>
        <v>Q4</v>
      </c>
    </row>
    <row r="92" customFormat="false" ht="15" hidden="false" customHeight="false" outlineLevel="0" collapsed="false">
      <c r="A92" s="17" t="str">
        <f aca="false">Raw_Transactions!A92</f>
        <v>TXN-1091</v>
      </c>
      <c r="B92" s="17" t="str">
        <f aca="false">Raw_Transactions!B92</f>
        <v>03/11/2024</v>
      </c>
      <c r="C92" s="17" t="n">
        <f aca="false">IFERROR(VALUE(MID(Raw_Transactions!B92,4,2)),"")</f>
        <v>11</v>
      </c>
      <c r="D92" s="37" t="str">
        <f aca="false">IFERROR(xlookup(Raw_Transactions!C92,$L$2:$L$11,$M$2:$M$11,"Unknown"),"Unknown")</f>
        <v>Unknown</v>
      </c>
      <c r="E92" s="38" t="str">
        <f aca="false">Raw_Transactions!D92</f>
        <v>Office Supplies</v>
      </c>
      <c r="F92" s="38" t="str">
        <f aca="false">Raw_Transactions!E92</f>
        <v>Office furniture</v>
      </c>
      <c r="G92" s="39" t="n">
        <f aca="false">Raw_Transactions!F92</f>
        <v>961448</v>
      </c>
      <c r="H92" s="17" t="str">
        <f aca="false">Raw_Transactions!G92</f>
        <v>Bello R.</v>
      </c>
      <c r="I92" s="40" t="str">
        <f aca="false">IFERROR(xlookup(Raw_Transactions!H92,$O$2:$O$6,$P$2:$P$6,"Unknown"),"Unknown")</f>
        <v>Unknown</v>
      </c>
      <c r="J92" s="17" t="str">
        <f aca="false">IF(C92&lt;=3,"Q1",IF(C92&lt;=6,"Q2",IF(C92&lt;=9,"Q3","Q4")))</f>
        <v>Q4</v>
      </c>
    </row>
    <row r="93" customFormat="false" ht="15" hidden="false" customHeight="false" outlineLevel="0" collapsed="false">
      <c r="A93" s="22" t="str">
        <f aca="false">Raw_Transactions!A93</f>
        <v>TXN-1092</v>
      </c>
      <c r="B93" s="22" t="str">
        <f aca="false">Raw_Transactions!B93</f>
        <v>16/10/2024</v>
      </c>
      <c r="C93" s="22" t="n">
        <f aca="false">IFERROR(VALUE(MID(Raw_Transactions!B93,4,2)),"")</f>
        <v>10</v>
      </c>
      <c r="D93" s="43" t="str">
        <f aca="false">IFERROR(xlookup(Raw_Transactions!C93,$L$2:$L$11,$M$2:$M$11,"Unknown"),"Unknown")</f>
        <v>Unknown</v>
      </c>
      <c r="E93" s="44" t="str">
        <f aca="false">Raw_Transactions!D93</f>
        <v>Salaries</v>
      </c>
      <c r="F93" s="44" t="str">
        <f aca="false">Raw_Transactions!E93</f>
        <v>April staff payroll</v>
      </c>
      <c r="G93" s="45" t="n">
        <f aca="false">Raw_Transactions!F93</f>
        <v>2035509.12</v>
      </c>
      <c r="H93" s="22" t="str">
        <f aca="false">Raw_Transactions!G93</f>
        <v>Adeyemi T.</v>
      </c>
      <c r="I93" s="46" t="str">
        <f aca="false">IFERROR(xlookup(Raw_Transactions!H93,$O$2:$O$6,$P$2:$P$6,"Unknown"),"Unknown")</f>
        <v>Unknown</v>
      </c>
      <c r="J93" s="22" t="str">
        <f aca="false">IF(C93&lt;=3,"Q1",IF(C93&lt;=6,"Q2",IF(C93&lt;=9,"Q3","Q4")))</f>
        <v>Q4</v>
      </c>
    </row>
    <row r="94" customFormat="false" ht="15" hidden="false" customHeight="false" outlineLevel="0" collapsed="false">
      <c r="A94" s="17" t="str">
        <f aca="false">Raw_Transactions!A94</f>
        <v>TXN-1093</v>
      </c>
      <c r="B94" s="17" t="str">
        <f aca="false">Raw_Transactions!B94</f>
        <v>26/05/2024</v>
      </c>
      <c r="C94" s="17" t="n">
        <f aca="false">IFERROR(VALUE(MID(Raw_Transactions!B94,4,2)),"")</f>
        <v>5</v>
      </c>
      <c r="D94" s="37" t="str">
        <f aca="false">IFERROR(xlookup(Raw_Transactions!C94,$L$2:$L$11,$M$2:$M$11,"Unknown"),"Unknown")</f>
        <v>Unknown</v>
      </c>
      <c r="E94" s="38" t="str">
        <f aca="false">Raw_Transactions!D94</f>
        <v>Software Licenses</v>
      </c>
      <c r="F94" s="38" t="str">
        <f aca="false">Raw_Transactions!E94</f>
        <v>Accounting software</v>
      </c>
      <c r="G94" s="39" t="n">
        <f aca="false">Raw_Transactions!F94</f>
        <v>1061905.77</v>
      </c>
      <c r="H94" s="17" t="str">
        <f aca="false">Raw_Transactions!G94</f>
        <v>Okafor M.</v>
      </c>
      <c r="I94" s="40" t="str">
        <f aca="false">IFERROR(xlookup(Raw_Transactions!H94,$O$2:$O$6,$P$2:$P$6,"Unknown"),"Unknown")</f>
        <v>Unknown</v>
      </c>
      <c r="J94" s="17" t="str">
        <f aca="false">IF(C94&lt;=3,"Q1",IF(C94&lt;=6,"Q2",IF(C94&lt;=9,"Q3","Q4")))</f>
        <v>Q2</v>
      </c>
    </row>
    <row r="95" customFormat="false" ht="15" hidden="false" customHeight="false" outlineLevel="0" collapsed="false">
      <c r="A95" s="22" t="str">
        <f aca="false">Raw_Transactions!A95</f>
        <v>TXN-1094</v>
      </c>
      <c r="B95" s="22" t="str">
        <f aca="false">Raw_Transactions!B95</f>
        <v>27/05/2024</v>
      </c>
      <c r="C95" s="22" t="n">
        <f aca="false">IFERROR(VALUE(MID(Raw_Transactions!B95,4,2)),"")</f>
        <v>5</v>
      </c>
      <c r="D95" s="43" t="str">
        <f aca="false">IFERROR(xlookup(Raw_Transactions!C95,$L$2:$L$11,$M$2:$M$11,"Unknown"),"Unknown")</f>
        <v>Unknown</v>
      </c>
      <c r="E95" s="44" t="str">
        <f aca="false">Raw_Transactions!D95</f>
        <v>Office Supplies</v>
      </c>
      <c r="F95" s="44" t="str">
        <f aca="false">Raw_Transactions!E95</f>
        <v>Office furniture</v>
      </c>
      <c r="G95" s="45" t="n">
        <f aca="false">Raw_Transactions!F95</f>
        <v>683217.46</v>
      </c>
      <c r="H95" s="22" t="str">
        <f aca="false">Raw_Transactions!G95</f>
        <v>Bello R.</v>
      </c>
      <c r="I95" s="46" t="str">
        <f aca="false">IFERROR(xlookup(Raw_Transactions!H95,$O$2:$O$6,$P$2:$P$6,"Unknown"),"Unknown")</f>
        <v>Unknown</v>
      </c>
      <c r="J95" s="22" t="str">
        <f aca="false">IF(C95&lt;=3,"Q1",IF(C95&lt;=6,"Q2",IF(C95&lt;=9,"Q3","Q4")))</f>
        <v>Q2</v>
      </c>
    </row>
    <row r="96" customFormat="false" ht="15" hidden="false" customHeight="false" outlineLevel="0" collapsed="false">
      <c r="A96" s="17" t="str">
        <f aca="false">Raw_Transactions!A96</f>
        <v>TXN-1095</v>
      </c>
      <c r="B96" s="17" t="str">
        <f aca="false">Raw_Transactions!B96</f>
        <v>23/08/2024</v>
      </c>
      <c r="C96" s="17" t="n">
        <f aca="false">IFERROR(VALUE(MID(Raw_Transactions!B96,4,2)),"")</f>
        <v>8</v>
      </c>
      <c r="D96" s="37" t="str">
        <f aca="false">IFERROR(xlookup(Raw_Transactions!C96,$L$2:$L$11,$M$2:$M$11,"Unknown"),"Unknown")</f>
        <v>Unknown</v>
      </c>
      <c r="E96" s="38" t="str">
        <f aca="false">Raw_Transactions!D96</f>
        <v>Miscellaneous</v>
      </c>
      <c r="F96" s="38" t="str">
        <f aca="false">Raw_Transactions!E96</f>
        <v>Unclassified expense</v>
      </c>
      <c r="G96" s="39" t="n">
        <f aca="false">Raw_Transactions!F96</f>
        <v>1984603.22</v>
      </c>
      <c r="H96" s="17" t="str">
        <f aca="false">Raw_Transactions!G96</f>
        <v>Adeyemi T.</v>
      </c>
      <c r="I96" s="40" t="str">
        <f aca="false">IFERROR(xlookup(Raw_Transactions!H96,$O$2:$O$6,$P$2:$P$6,"Unknown"),"Unknown")</f>
        <v>Unknown</v>
      </c>
      <c r="J96" s="17" t="str">
        <f aca="false">IF(C96&lt;=3,"Q1",IF(C96&lt;=6,"Q2",IF(C96&lt;=9,"Q3","Q4")))</f>
        <v>Q3</v>
      </c>
    </row>
    <row r="97" customFormat="false" ht="15" hidden="false" customHeight="false" outlineLevel="0" collapsed="false">
      <c r="A97" s="22" t="str">
        <f aca="false">Raw_Transactions!A97</f>
        <v>TXN-1096</v>
      </c>
      <c r="B97" s="22" t="str">
        <f aca="false">Raw_Transactions!B97</f>
        <v>02/10/2024</v>
      </c>
      <c r="C97" s="22" t="n">
        <f aca="false">IFERROR(VALUE(MID(Raw_Transactions!B97,4,2)),"")</f>
        <v>10</v>
      </c>
      <c r="D97" s="43" t="str">
        <f aca="false">IFERROR(xlookup(Raw_Transactions!C97,$L$2:$L$11,$M$2:$M$11,"Unknown"),"Unknown")</f>
        <v>Unknown</v>
      </c>
      <c r="E97" s="44" t="str">
        <f aca="false">Raw_Transactions!D97</f>
        <v>Equipment</v>
      </c>
      <c r="F97" s="44" t="str">
        <f aca="false">Raw_Transactions!E97</f>
        <v>Projector</v>
      </c>
      <c r="G97" s="45" t="n">
        <f aca="false">Raw_Transactions!F97</f>
        <v>1978348.5</v>
      </c>
      <c r="H97" s="22" t="str">
        <f aca="false">Raw_Transactions!G97</f>
        <v>Nwachukwu F.</v>
      </c>
      <c r="I97" s="46" t="str">
        <f aca="false">IFERROR(xlookup(Raw_Transactions!H97,$O$2:$O$6,$P$2:$P$6,"Unknown"),"Unknown")</f>
        <v>Unknown</v>
      </c>
      <c r="J97" s="22" t="str">
        <f aca="false">IF(C97&lt;=3,"Q1",IF(C97&lt;=6,"Q2",IF(C97&lt;=9,"Q3","Q4")))</f>
        <v>Q4</v>
      </c>
    </row>
    <row r="98" customFormat="false" ht="15" hidden="false" customHeight="false" outlineLevel="0" collapsed="false">
      <c r="A98" s="17" t="str">
        <f aca="false">Raw_Transactions!A98</f>
        <v>TXN-1097</v>
      </c>
      <c r="B98" s="17" t="str">
        <f aca="false">Raw_Transactions!B98</f>
        <v>19/10/2024</v>
      </c>
      <c r="C98" s="17" t="n">
        <f aca="false">IFERROR(VALUE(MID(Raw_Transactions!B98,4,2)),"")</f>
        <v>10</v>
      </c>
      <c r="D98" s="37" t="str">
        <f aca="false">IFERROR(xlookup(Raw_Transactions!C98,$L$2:$L$11,$M$2:$M$11,"Unknown"),"Unknown")</f>
        <v>Unknown</v>
      </c>
      <c r="E98" s="38" t="str">
        <f aca="false">Raw_Transactions!D98</f>
        <v>Software Licenses</v>
      </c>
      <c r="F98" s="38" t="str">
        <f aca="false">Raw_Transactions!E98</f>
        <v>Microsoft 365 renewal</v>
      </c>
      <c r="G98" s="39" t="n">
        <f aca="false">Raw_Transactions!F98</f>
        <v>4329171.29</v>
      </c>
      <c r="H98" s="17" t="str">
        <f aca="false">Raw_Transactions!G98</f>
        <v>Chukwu A.</v>
      </c>
      <c r="I98" s="40" t="str">
        <f aca="false">IFERROR(xlookup(Raw_Transactions!H98,$O$2:$O$6,$P$2:$P$6,"Unknown"),"Unknown")</f>
        <v>Unknown</v>
      </c>
      <c r="J98" s="17" t="str">
        <f aca="false">IF(C98&lt;=3,"Q1",IF(C98&lt;=6,"Q2",IF(C98&lt;=9,"Q3","Q4")))</f>
        <v>Q4</v>
      </c>
    </row>
    <row r="99" customFormat="false" ht="15" hidden="false" customHeight="false" outlineLevel="0" collapsed="false">
      <c r="A99" s="22" t="str">
        <f aca="false">Raw_Transactions!A99</f>
        <v>TXN-1098</v>
      </c>
      <c r="B99" s="22" t="str">
        <f aca="false">Raw_Transactions!B99</f>
        <v>06/05/2024</v>
      </c>
      <c r="C99" s="22" t="n">
        <f aca="false">IFERROR(VALUE(MID(Raw_Transactions!B99,4,2)),"")</f>
        <v>5</v>
      </c>
      <c r="D99" s="43" t="str">
        <f aca="false">IFERROR(xlookup(Raw_Transactions!C99,$L$2:$L$11,$M$2:$M$11,"Unknown"),"Unknown")</f>
        <v>Unknown</v>
      </c>
      <c r="E99" s="44" t="str">
        <f aca="false">Raw_Transactions!D99</f>
        <v>Consulting Fees</v>
      </c>
      <c r="F99" s="44" t="str">
        <f aca="false">Raw_Transactions!E99</f>
        <v>Financial review</v>
      </c>
      <c r="G99" s="45" t="n">
        <f aca="false">Raw_Transactions!F99</f>
        <v>2937020.06</v>
      </c>
      <c r="H99" s="22" t="str">
        <f aca="false">Raw_Transactions!G99</f>
        <v>Okafor M.</v>
      </c>
      <c r="I99" s="46" t="str">
        <f aca="false">IFERROR(xlookup(Raw_Transactions!H99,$O$2:$O$6,$P$2:$P$6,"Unknown"),"Unknown")</f>
        <v>Unknown</v>
      </c>
      <c r="J99" s="22" t="str">
        <f aca="false">IF(C99&lt;=3,"Q1",IF(C99&lt;=6,"Q2",IF(C99&lt;=9,"Q3","Q4")))</f>
        <v>Q2</v>
      </c>
    </row>
    <row r="100" customFormat="false" ht="15" hidden="false" customHeight="false" outlineLevel="0" collapsed="false">
      <c r="A100" s="17" t="str">
        <f aca="false">Raw_Transactions!A100</f>
        <v>TXN-1099</v>
      </c>
      <c r="B100" s="17" t="str">
        <f aca="false">Raw_Transactions!B100</f>
        <v>11/06/2024</v>
      </c>
      <c r="C100" s="17" t="n">
        <f aca="false">IFERROR(VALUE(MID(Raw_Transactions!B100,4,2)),"")</f>
        <v>6</v>
      </c>
      <c r="D100" s="37" t="str">
        <f aca="false">IFERROR(xlookup(Raw_Transactions!C100,$L$2:$L$11,$M$2:$M$11,"Unknown"),"Unknown")</f>
        <v>Unknown</v>
      </c>
      <c r="E100" s="38" t="str">
        <f aca="false">Raw_Transactions!D100</f>
        <v>Software Licenses</v>
      </c>
      <c r="F100" s="38" t="str">
        <f aca="false">Raw_Transactions!E100</f>
        <v>Antivirus subscription</v>
      </c>
      <c r="G100" s="39" t="n">
        <f aca="false">Raw_Transactions!F100</f>
        <v>1575605.34</v>
      </c>
      <c r="H100" s="17" t="str">
        <f aca="false">Raw_Transactions!G100</f>
        <v>Chukwu A.</v>
      </c>
      <c r="I100" s="40" t="str">
        <f aca="false">IFERROR(xlookup(Raw_Transactions!H100,$O$2:$O$6,$P$2:$P$6,"Unknown"),"Unknown")</f>
        <v>Unknown</v>
      </c>
      <c r="J100" s="17" t="str">
        <f aca="false">IF(C100&lt;=3,"Q1",IF(C100&lt;=6,"Q2",IF(C100&lt;=9,"Q3","Q4")))</f>
        <v>Q2</v>
      </c>
    </row>
    <row r="101" customFormat="false" ht="15" hidden="false" customHeight="false" outlineLevel="0" collapsed="false">
      <c r="A101" s="22" t="str">
        <f aca="false">Raw_Transactions!A101</f>
        <v>TXN-1100</v>
      </c>
      <c r="B101" s="22" t="str">
        <f aca="false">Raw_Transactions!B101</f>
        <v>02/09/2024</v>
      </c>
      <c r="C101" s="22" t="n">
        <f aca="false">IFERROR(VALUE(MID(Raw_Transactions!B101,4,2)),"")</f>
        <v>9</v>
      </c>
      <c r="D101" s="43" t="str">
        <f aca="false">IFERROR(xlookup(Raw_Transactions!C101,$L$2:$L$11,$M$2:$M$11,"Unknown"),"Unknown")</f>
        <v>Unknown</v>
      </c>
      <c r="E101" s="44" t="str">
        <f aca="false">Raw_Transactions!D101</f>
        <v>Training</v>
      </c>
      <c r="F101" s="44" t="str">
        <f aca="false">Raw_Transactions!E101</f>
        <v>PMP certification</v>
      </c>
      <c r="G101" s="45" t="n">
        <f aca="false">Raw_Transactions!F101</f>
        <v>4254193.02</v>
      </c>
      <c r="H101" s="22" t="str">
        <f aca="false">Raw_Transactions!G101</f>
        <v>Nwachukwu F.</v>
      </c>
      <c r="I101" s="46" t="str">
        <f aca="false">IFERROR(xlookup(Raw_Transactions!H101,$O$2:$O$6,$P$2:$P$6,"Unknown"),"Unknown")</f>
        <v>Unknown</v>
      </c>
      <c r="J101" s="22" t="str">
        <f aca="false">IF(C101&lt;=3,"Q1",IF(C101&lt;=6,"Q2",IF(C101&lt;=9,"Q3","Q4")))</f>
        <v>Q3</v>
      </c>
    </row>
    <row r="102" customFormat="false" ht="15" hidden="false" customHeight="false" outlineLevel="0" collapsed="false">
      <c r="A102" s="17" t="str">
        <f aca="false">Raw_Transactions!A102</f>
        <v>TXN-1101</v>
      </c>
      <c r="B102" s="17" t="str">
        <f aca="false">Raw_Transactions!B102</f>
        <v>22/01/2024</v>
      </c>
      <c r="C102" s="17" t="n">
        <f aca="false">IFERROR(VALUE(MID(Raw_Transactions!B102,4,2)),"")</f>
        <v>1</v>
      </c>
      <c r="D102" s="37" t="str">
        <f aca="false">IFERROR(xlookup(Raw_Transactions!C102,$L$2:$L$11,$M$2:$M$11,"Unknown"),"Unknown")</f>
        <v>Unknown</v>
      </c>
      <c r="E102" s="38" t="str">
        <f aca="false">Raw_Transactions!D102</f>
        <v>Software Licenses</v>
      </c>
      <c r="F102" s="38" t="str">
        <f aca="false">Raw_Transactions!E102</f>
        <v>Antivirus subscription</v>
      </c>
      <c r="G102" s="39" t="n">
        <f aca="false">Raw_Transactions!F102</f>
        <v>3894123.97</v>
      </c>
      <c r="H102" s="17" t="str">
        <f aca="false">Raw_Transactions!G102</f>
        <v>Okafor M.</v>
      </c>
      <c r="I102" s="40" t="str">
        <f aca="false">IFERROR(xlookup(Raw_Transactions!H102,$O$2:$O$6,$P$2:$P$6,"Unknown"),"Unknown")</f>
        <v>Unknown</v>
      </c>
      <c r="J102" s="17" t="str">
        <f aca="false">IF(C102&lt;=3,"Q1",IF(C102&lt;=6,"Q2",IF(C102&lt;=9,"Q3","Q4")))</f>
        <v>Q1</v>
      </c>
    </row>
    <row r="103" customFormat="false" ht="15" hidden="false" customHeight="false" outlineLevel="0" collapsed="false">
      <c r="A103" s="22" t="str">
        <f aca="false">Raw_Transactions!A103</f>
        <v>TXN-1102</v>
      </c>
      <c r="B103" s="22" t="str">
        <f aca="false">Raw_Transactions!B103</f>
        <v>21/08/2024</v>
      </c>
      <c r="C103" s="22" t="n">
        <f aca="false">IFERROR(VALUE(MID(Raw_Transactions!B103,4,2)),"")</f>
        <v>8</v>
      </c>
      <c r="D103" s="43" t="str">
        <f aca="false">IFERROR(xlookup(Raw_Transactions!C103,$L$2:$L$11,$M$2:$M$11,"Unknown"),"Unknown")</f>
        <v>Unknown</v>
      </c>
      <c r="E103" s="44" t="str">
        <f aca="false">Raw_Transactions!D103</f>
        <v>Equipment</v>
      </c>
      <c r="F103" s="44" t="str">
        <f aca="false">Raw_Transactions!E103</f>
        <v>Projector</v>
      </c>
      <c r="G103" s="45" t="n">
        <f aca="false">Raw_Transactions!F103</f>
        <v>2807512.92</v>
      </c>
      <c r="H103" s="22" t="str">
        <f aca="false">Raw_Transactions!G103</f>
        <v>Nwachukwu F.</v>
      </c>
      <c r="I103" s="46" t="str">
        <f aca="false">IFERROR(xlookup(Raw_Transactions!H103,$O$2:$O$6,$P$2:$P$6,"Unknown"),"Unknown")</f>
        <v>Unknown</v>
      </c>
      <c r="J103" s="22" t="str">
        <f aca="false">IF(C103&lt;=3,"Q1",IF(C103&lt;=6,"Q2",IF(C103&lt;=9,"Q3","Q4")))</f>
        <v>Q3</v>
      </c>
    </row>
    <row r="104" customFormat="false" ht="15" hidden="false" customHeight="false" outlineLevel="0" collapsed="false">
      <c r="A104" s="17" t="str">
        <f aca="false">Raw_Transactions!A104</f>
        <v>TXN-1103</v>
      </c>
      <c r="B104" s="17" t="str">
        <f aca="false">Raw_Transactions!B104</f>
        <v>21/01/2024</v>
      </c>
      <c r="C104" s="17" t="n">
        <f aca="false">IFERROR(VALUE(MID(Raw_Transactions!B104,4,2)),"")</f>
        <v>1</v>
      </c>
      <c r="D104" s="37" t="str">
        <f aca="false">IFERROR(xlookup(Raw_Transactions!C104,$L$2:$L$11,$M$2:$M$11,"Unknown"),"Unknown")</f>
        <v>Unknown</v>
      </c>
      <c r="E104" s="38" t="str">
        <f aca="false">Raw_Transactions!D104</f>
        <v>Consulting Fees</v>
      </c>
      <c r="F104" s="38" t="str">
        <f aca="false">Raw_Transactions!E104</f>
        <v>Financial review</v>
      </c>
      <c r="G104" s="39" t="n">
        <f aca="false">Raw_Transactions!F104</f>
        <v>2188932.41</v>
      </c>
      <c r="H104" s="17" t="str">
        <f aca="false">Raw_Transactions!G104</f>
        <v>Okafor M.</v>
      </c>
      <c r="I104" s="40" t="str">
        <f aca="false">IFERROR(xlookup(Raw_Transactions!H104,$O$2:$O$6,$P$2:$P$6,"Unknown"),"Unknown")</f>
        <v>Unknown</v>
      </c>
      <c r="J104" s="17" t="str">
        <f aca="false">IF(C104&lt;=3,"Q1",IF(C104&lt;=6,"Q2",IF(C104&lt;=9,"Q3","Q4")))</f>
        <v>Q1</v>
      </c>
    </row>
    <row r="105" customFormat="false" ht="15" hidden="false" customHeight="false" outlineLevel="0" collapsed="false">
      <c r="A105" s="22" t="str">
        <f aca="false">Raw_Transactions!A105</f>
        <v>TXN-1104</v>
      </c>
      <c r="B105" s="22" t="str">
        <f aca="false">Raw_Transactions!B105</f>
        <v>08/02/2024</v>
      </c>
      <c r="C105" s="22" t="n">
        <f aca="false">IFERROR(VALUE(MID(Raw_Transactions!B105,4,2)),"")</f>
        <v>2</v>
      </c>
      <c r="D105" s="43" t="str">
        <f aca="false">IFERROR(xlookup(Raw_Transactions!C105,$L$2:$L$11,$M$2:$M$11,"Unknown"),"Unknown")</f>
        <v>Unknown</v>
      </c>
      <c r="E105" s="44" t="str">
        <f aca="false">Raw_Transactions!D105</f>
        <v>Equipment</v>
      </c>
      <c r="F105" s="44" t="str">
        <f aca="false">Raw_Transactions!E105</f>
        <v>Laptop purchase</v>
      </c>
      <c r="G105" s="45" t="n">
        <f aca="false">Raw_Transactions!F105</f>
        <v>2491847.57</v>
      </c>
      <c r="H105" s="22" t="str">
        <f aca="false">Raw_Transactions!G105</f>
        <v>Chukwu A.</v>
      </c>
      <c r="I105" s="46" t="str">
        <f aca="false">IFERROR(xlookup(Raw_Transactions!H105,$O$2:$O$6,$P$2:$P$6,"Unknown"),"Unknown")</f>
        <v>Unknown</v>
      </c>
      <c r="J105" s="22" t="str">
        <f aca="false">IF(C105&lt;=3,"Q1",IF(C105&lt;=6,"Q2",IF(C105&lt;=9,"Q3","Q4")))</f>
        <v>Q1</v>
      </c>
    </row>
    <row r="106" customFormat="false" ht="15" hidden="false" customHeight="false" outlineLevel="0" collapsed="false">
      <c r="A106" s="17" t="str">
        <f aca="false">Raw_Transactions!A106</f>
        <v>TXN-1105</v>
      </c>
      <c r="B106" s="17" t="str">
        <f aca="false">Raw_Transactions!B106</f>
        <v>09/12/2024</v>
      </c>
      <c r="C106" s="17" t="n">
        <f aca="false">IFERROR(VALUE(MID(Raw_Transactions!B106,4,2)),"")</f>
        <v>12</v>
      </c>
      <c r="D106" s="37" t="str">
        <f aca="false">IFERROR(xlookup(Raw_Transactions!C106,$L$2:$L$11,$M$2:$M$11,"Unknown"),"Unknown")</f>
        <v>Unknown</v>
      </c>
      <c r="E106" s="38" t="str">
        <f aca="false">Raw_Transactions!D106</f>
        <v>Consulting Fees</v>
      </c>
      <c r="F106" s="38" t="str">
        <f aca="false">Raw_Transactions!E106</f>
        <v>Financial review</v>
      </c>
      <c r="G106" s="39" t="n">
        <f aca="false">Raw_Transactions!F106</f>
        <v>1323999.1</v>
      </c>
      <c r="H106" s="17" t="str">
        <f aca="false">Raw_Transactions!G106</f>
        <v>Nwachukwu F.</v>
      </c>
      <c r="I106" s="40" t="str">
        <f aca="false">IFERROR(xlookup(Raw_Transactions!H106,$O$2:$O$6,$P$2:$P$6,"Unknown"),"Unknown")</f>
        <v>Unknown</v>
      </c>
      <c r="J106" s="17" t="str">
        <f aca="false">IF(C106&lt;=3,"Q1",IF(C106&lt;=6,"Q2",IF(C106&lt;=9,"Q3","Q4")))</f>
        <v>Q4</v>
      </c>
    </row>
    <row r="107" customFormat="false" ht="15" hidden="false" customHeight="false" outlineLevel="0" collapsed="false">
      <c r="A107" s="22" t="str">
        <f aca="false">Raw_Transactions!A107</f>
        <v>TXN-1106</v>
      </c>
      <c r="B107" s="22" t="str">
        <f aca="false">Raw_Transactions!B107</f>
        <v>20/04/2024</v>
      </c>
      <c r="C107" s="22" t="n">
        <f aca="false">IFERROR(VALUE(MID(Raw_Transactions!B107,4,2)),"")</f>
        <v>4</v>
      </c>
      <c r="D107" s="43" t="str">
        <f aca="false">IFERROR(xlookup(Raw_Transactions!C107,$L$2:$L$11,$M$2:$M$11,"Unknown"),"Unknown")</f>
        <v>Unknown</v>
      </c>
      <c r="E107" s="44" t="str">
        <f aca="false">Raw_Transactions!D107</f>
        <v>Consulting Fees</v>
      </c>
      <c r="F107" s="44" t="str">
        <f aca="false">Raw_Transactions!E107</f>
        <v>Financial review</v>
      </c>
      <c r="G107" s="45" t="n">
        <f aca="false">Raw_Transactions!F107</f>
        <v>663719.23</v>
      </c>
      <c r="H107" s="22" t="str">
        <f aca="false">Raw_Transactions!G107</f>
        <v>Okafor M.</v>
      </c>
      <c r="I107" s="46" t="str">
        <f aca="false">IFERROR(xlookup(Raw_Transactions!H107,$O$2:$O$6,$P$2:$P$6,"Unknown"),"Unknown")</f>
        <v>Unknown</v>
      </c>
      <c r="J107" s="22" t="str">
        <f aca="false">IF(C107&lt;=3,"Q1",IF(C107&lt;=6,"Q2",IF(C107&lt;=9,"Q3","Q4")))</f>
        <v>Q2</v>
      </c>
    </row>
    <row r="108" customFormat="false" ht="15" hidden="false" customHeight="false" outlineLevel="0" collapsed="false">
      <c r="A108" s="17" t="str">
        <f aca="false">Raw_Transactions!A108</f>
        <v>TXN-1107</v>
      </c>
      <c r="B108" s="17" t="str">
        <f aca="false">Raw_Transactions!B108</f>
        <v>09/09/2024</v>
      </c>
      <c r="C108" s="17" t="n">
        <f aca="false">IFERROR(VALUE(MID(Raw_Transactions!B108,4,2)),"")</f>
        <v>9</v>
      </c>
      <c r="D108" s="37" t="str">
        <f aca="false">IFERROR(xlookup(Raw_Transactions!C108,$L$2:$L$11,$M$2:$M$11,"Unknown"),"Unknown")</f>
        <v>Unknown</v>
      </c>
      <c r="E108" s="38" t="str">
        <f aca="false">Raw_Transactions!D108</f>
        <v>Utilities</v>
      </c>
      <c r="F108" s="38" t="str">
        <f aca="false">Raw_Transactions!E108</f>
        <v>Internet subscription</v>
      </c>
      <c r="G108" s="39" t="n">
        <f aca="false">Raw_Transactions!F108</f>
        <v>4205104.05</v>
      </c>
      <c r="H108" s="17" t="str">
        <f aca="false">Raw_Transactions!G108</f>
        <v>Chukwu A.</v>
      </c>
      <c r="I108" s="40" t="str">
        <f aca="false">IFERROR(xlookup(Raw_Transactions!H108,$O$2:$O$6,$P$2:$P$6,"Unknown"),"Unknown")</f>
        <v>Unknown</v>
      </c>
      <c r="J108" s="17" t="str">
        <f aca="false">IF(C108&lt;=3,"Q1",IF(C108&lt;=6,"Q2",IF(C108&lt;=9,"Q3","Q4")))</f>
        <v>Q3</v>
      </c>
    </row>
    <row r="109" customFormat="false" ht="15" hidden="false" customHeight="false" outlineLevel="0" collapsed="false">
      <c r="A109" s="22" t="str">
        <f aca="false">Raw_Transactions!A109</f>
        <v>TXN-1108</v>
      </c>
      <c r="B109" s="22" t="str">
        <f aca="false">Raw_Transactions!B109</f>
        <v>15/03/2024</v>
      </c>
      <c r="C109" s="22" t="n">
        <f aca="false">IFERROR(VALUE(MID(Raw_Transactions!B109,4,2)),"")</f>
        <v>3</v>
      </c>
      <c r="D109" s="43" t="str">
        <f aca="false">IFERROR(xlookup(Raw_Transactions!C109,$L$2:$L$11,$M$2:$M$11,"Unknown"),"Unknown")</f>
        <v>Unknown</v>
      </c>
      <c r="E109" s="44" t="str">
        <f aca="false">Raw_Transactions!D109</f>
        <v>Miscellaneous</v>
      </c>
      <c r="F109" s="44" t="str">
        <f aca="false">Raw_Transactions!E109</f>
        <v>Sundry items</v>
      </c>
      <c r="G109" s="45" t="n">
        <f aca="false">Raw_Transactions!F109</f>
        <v>2211036.95</v>
      </c>
      <c r="H109" s="22" t="str">
        <f aca="false">Raw_Transactions!G109</f>
        <v>Okafor M.</v>
      </c>
      <c r="I109" s="46" t="str">
        <f aca="false">IFERROR(xlookup(Raw_Transactions!H109,$O$2:$O$6,$P$2:$P$6,"Unknown"),"Unknown")</f>
        <v>Unknown</v>
      </c>
      <c r="J109" s="22" t="str">
        <f aca="false">IF(C109&lt;=3,"Q1",IF(C109&lt;=6,"Q2",IF(C109&lt;=9,"Q3","Q4")))</f>
        <v>Q1</v>
      </c>
    </row>
    <row r="110" customFormat="false" ht="15" hidden="false" customHeight="false" outlineLevel="0" collapsed="false">
      <c r="A110" s="17" t="str">
        <f aca="false">Raw_Transactions!A110</f>
        <v>TXN-1109</v>
      </c>
      <c r="B110" s="17" t="str">
        <f aca="false">Raw_Transactions!B110</f>
        <v>28/06/2024</v>
      </c>
      <c r="C110" s="17" t="n">
        <f aca="false">IFERROR(VALUE(MID(Raw_Transactions!B110,4,2)),"")</f>
        <v>6</v>
      </c>
      <c r="D110" s="37" t="str">
        <f aca="false">IFERROR(xlookup(Raw_Transactions!C110,$L$2:$L$11,$M$2:$M$11,"Unknown"),"Unknown")</f>
        <v>Unknown</v>
      </c>
      <c r="E110" s="38" t="str">
        <f aca="false">Raw_Transactions!D110</f>
        <v>Equipment</v>
      </c>
      <c r="F110" s="38" t="str">
        <f aca="false">Raw_Transactions!E110</f>
        <v>Projector</v>
      </c>
      <c r="G110" s="39" t="n">
        <f aca="false">Raw_Transactions!F110</f>
        <v>2057220.61</v>
      </c>
      <c r="H110" s="17" t="str">
        <f aca="false">Raw_Transactions!G110</f>
        <v>Bello R.</v>
      </c>
      <c r="I110" s="40" t="str">
        <f aca="false">IFERROR(xlookup(Raw_Transactions!H110,$O$2:$O$6,$P$2:$P$6,"Unknown"),"Unknown")</f>
        <v>Unknown</v>
      </c>
      <c r="J110" s="17" t="str">
        <f aca="false">IF(C110&lt;=3,"Q1",IF(C110&lt;=6,"Q2",IF(C110&lt;=9,"Q3","Q4")))</f>
        <v>Q2</v>
      </c>
    </row>
    <row r="111" customFormat="false" ht="15" hidden="false" customHeight="false" outlineLevel="0" collapsed="false">
      <c r="A111" s="22" t="str">
        <f aca="false">Raw_Transactions!A111</f>
        <v>TXN-1110</v>
      </c>
      <c r="B111" s="22" t="str">
        <f aca="false">Raw_Transactions!B111</f>
        <v>23/08/2024</v>
      </c>
      <c r="C111" s="22" t="n">
        <f aca="false">IFERROR(VALUE(MID(Raw_Transactions!B111,4,2)),"")</f>
        <v>8</v>
      </c>
      <c r="D111" s="43" t="str">
        <f aca="false">IFERROR(xlookup(Raw_Transactions!C111,$L$2:$L$11,$M$2:$M$11,"Unknown"),"Unknown")</f>
        <v>Unknown</v>
      </c>
      <c r="E111" s="44" t="str">
        <f aca="false">Raw_Transactions!D111</f>
        <v>Utilities</v>
      </c>
      <c r="F111" s="44" t="str">
        <f aca="false">Raw_Transactions!E111</f>
        <v>Electricity bill</v>
      </c>
      <c r="G111" s="45" t="n">
        <f aca="false">Raw_Transactions!F111</f>
        <v>1442020.83</v>
      </c>
      <c r="H111" s="22" t="str">
        <f aca="false">Raw_Transactions!G111</f>
        <v>Nwachukwu F.</v>
      </c>
      <c r="I111" s="46" t="str">
        <f aca="false">IFERROR(xlookup(Raw_Transactions!H111,$O$2:$O$6,$P$2:$P$6,"Unknown"),"Unknown")</f>
        <v>Unknown</v>
      </c>
      <c r="J111" s="22" t="str">
        <f aca="false">IF(C111&lt;=3,"Q1",IF(C111&lt;=6,"Q2",IF(C111&lt;=9,"Q3","Q4")))</f>
        <v>Q3</v>
      </c>
    </row>
    <row r="112" customFormat="false" ht="15" hidden="false" customHeight="false" outlineLevel="0" collapsed="false">
      <c r="A112" s="17" t="str">
        <f aca="false">Raw_Transactions!A112</f>
        <v>TXN-1111</v>
      </c>
      <c r="B112" s="17" t="str">
        <f aca="false">Raw_Transactions!B112</f>
        <v>11/10/2024</v>
      </c>
      <c r="C112" s="17" t="n">
        <f aca="false">IFERROR(VALUE(MID(Raw_Transactions!B112,4,2)),"")</f>
        <v>10</v>
      </c>
      <c r="D112" s="37" t="str">
        <f aca="false">IFERROR(xlookup(Raw_Transactions!C112,$L$2:$L$11,$M$2:$M$11,"Unknown"),"Unknown")</f>
        <v>Unknown</v>
      </c>
      <c r="E112" s="38" t="str">
        <f aca="false">Raw_Transactions!D112</f>
        <v>Consulting Fees</v>
      </c>
      <c r="F112" s="38" t="str">
        <f aca="false">Raw_Transactions!E112</f>
        <v>IT audit consultant</v>
      </c>
      <c r="G112" s="39" t="n">
        <f aca="false">Raw_Transactions!F112</f>
        <v>581214.52</v>
      </c>
      <c r="H112" s="17" t="str">
        <f aca="false">Raw_Transactions!G112</f>
        <v>Chukwu A.</v>
      </c>
      <c r="I112" s="40" t="str">
        <f aca="false">IFERROR(xlookup(Raw_Transactions!H112,$O$2:$O$6,$P$2:$P$6,"Unknown"),"Unknown")</f>
        <v>Unknown</v>
      </c>
      <c r="J112" s="17" t="str">
        <f aca="false">IF(C112&lt;=3,"Q1",IF(C112&lt;=6,"Q2",IF(C112&lt;=9,"Q3","Q4")))</f>
        <v>Q4</v>
      </c>
    </row>
    <row r="113" customFormat="false" ht="15" hidden="false" customHeight="false" outlineLevel="0" collapsed="false">
      <c r="A113" s="22" t="str">
        <f aca="false">Raw_Transactions!A113</f>
        <v>TXN-1112</v>
      </c>
      <c r="B113" s="22" t="str">
        <f aca="false">Raw_Transactions!B113</f>
        <v>03/03/2024</v>
      </c>
      <c r="C113" s="22" t="n">
        <f aca="false">IFERROR(VALUE(MID(Raw_Transactions!B113,4,2)),"")</f>
        <v>3</v>
      </c>
      <c r="D113" s="43" t="str">
        <f aca="false">IFERROR(xlookup(Raw_Transactions!C113,$L$2:$L$11,$M$2:$M$11,"Unknown"),"Unknown")</f>
        <v>Unknown</v>
      </c>
      <c r="E113" s="44" t="str">
        <f aca="false">Raw_Transactions!D113</f>
        <v>Travel &amp; Transport</v>
      </c>
      <c r="F113" s="44" t="str">
        <f aca="false">Raw_Transactions!E113</f>
        <v>Airport transfer</v>
      </c>
      <c r="G113" s="45" t="n">
        <f aca="false">Raw_Transactions!F113</f>
        <v>3921134.38</v>
      </c>
      <c r="H113" s="22" t="str">
        <f aca="false">Raw_Transactions!G113</f>
        <v>Nwachukwu F.</v>
      </c>
      <c r="I113" s="46" t="str">
        <f aca="false">IFERROR(xlookup(Raw_Transactions!H113,$O$2:$O$6,$P$2:$P$6,"Unknown"),"Unknown")</f>
        <v>Unknown</v>
      </c>
      <c r="J113" s="22" t="str">
        <f aca="false">IF(C113&lt;=3,"Q1",IF(C113&lt;=6,"Q2",IF(C113&lt;=9,"Q3","Q4")))</f>
        <v>Q1</v>
      </c>
    </row>
    <row r="114" customFormat="false" ht="15" hidden="false" customHeight="false" outlineLevel="0" collapsed="false">
      <c r="A114" s="17" t="str">
        <f aca="false">Raw_Transactions!A114</f>
        <v>TXN-1113</v>
      </c>
      <c r="B114" s="17" t="str">
        <f aca="false">Raw_Transactions!B114</f>
        <v>13/09/2024</v>
      </c>
      <c r="C114" s="17" t="n">
        <f aca="false">IFERROR(VALUE(MID(Raw_Transactions!B114,4,2)),"")</f>
        <v>9</v>
      </c>
      <c r="D114" s="37" t="str">
        <f aca="false">IFERROR(xlookup(Raw_Transactions!C114,$L$2:$L$11,$M$2:$M$11,"Unknown"),"Unknown")</f>
        <v>Unknown</v>
      </c>
      <c r="E114" s="38" t="str">
        <f aca="false">Raw_Transactions!D114</f>
        <v>Software Licenses</v>
      </c>
      <c r="F114" s="38" t="str">
        <f aca="false">Raw_Transactions!E114</f>
        <v>Antivirus subscription</v>
      </c>
      <c r="G114" s="39" t="n">
        <f aca="false">Raw_Transactions!F114</f>
        <v>3837750.89</v>
      </c>
      <c r="H114" s="17" t="str">
        <f aca="false">Raw_Transactions!G114</f>
        <v>Adeyemi T.</v>
      </c>
      <c r="I114" s="40" t="str">
        <f aca="false">IFERROR(xlookup(Raw_Transactions!H114,$O$2:$O$6,$P$2:$P$6,"Unknown"),"Unknown")</f>
        <v>Unknown</v>
      </c>
      <c r="J114" s="17" t="str">
        <f aca="false">IF(C114&lt;=3,"Q1",IF(C114&lt;=6,"Q2",IF(C114&lt;=9,"Q3","Q4")))</f>
        <v>Q3</v>
      </c>
    </row>
    <row r="115" customFormat="false" ht="15" hidden="false" customHeight="false" outlineLevel="0" collapsed="false">
      <c r="A115" s="22" t="str">
        <f aca="false">Raw_Transactions!A115</f>
        <v>TXN-1114</v>
      </c>
      <c r="B115" s="22" t="str">
        <f aca="false">Raw_Transactions!B115</f>
        <v>10/11/2024</v>
      </c>
      <c r="C115" s="22" t="n">
        <f aca="false">IFERROR(VALUE(MID(Raw_Transactions!B115,4,2)),"")</f>
        <v>11</v>
      </c>
      <c r="D115" s="43" t="str">
        <f aca="false">IFERROR(xlookup(Raw_Transactions!C115,$L$2:$L$11,$M$2:$M$11,"Unknown"),"Unknown")</f>
        <v>Unknown</v>
      </c>
      <c r="E115" s="44" t="str">
        <f aca="false">Raw_Transactions!D115</f>
        <v>Miscellaneous</v>
      </c>
      <c r="F115" s="44" t="str">
        <f aca="false">Raw_Transactions!E115</f>
        <v>Staff welfare</v>
      </c>
      <c r="G115" s="45" t="n">
        <f aca="false">Raw_Transactions!F115</f>
        <v>1067944.54</v>
      </c>
      <c r="H115" s="22" t="str">
        <f aca="false">Raw_Transactions!G115</f>
        <v>Bello R.</v>
      </c>
      <c r="I115" s="46" t="str">
        <f aca="false">IFERROR(xlookup(Raw_Transactions!H115,$O$2:$O$6,$P$2:$P$6,"Unknown"),"Unknown")</f>
        <v>Unknown</v>
      </c>
      <c r="J115" s="22" t="str">
        <f aca="false">IF(C115&lt;=3,"Q1",IF(C115&lt;=6,"Q2",IF(C115&lt;=9,"Q3","Q4")))</f>
        <v>Q4</v>
      </c>
    </row>
    <row r="116" customFormat="false" ht="15" hidden="false" customHeight="false" outlineLevel="0" collapsed="false">
      <c r="A116" s="17" t="str">
        <f aca="false">Raw_Transactions!A116</f>
        <v>TXN-1115</v>
      </c>
      <c r="B116" s="17" t="str">
        <f aca="false">Raw_Transactions!B116</f>
        <v>01/05/2024</v>
      </c>
      <c r="C116" s="17" t="n">
        <f aca="false">IFERROR(VALUE(MID(Raw_Transactions!B116,4,2)),"")</f>
        <v>5</v>
      </c>
      <c r="D116" s="37" t="str">
        <f aca="false">IFERROR(xlookup(Raw_Transactions!C116,$L$2:$L$11,$M$2:$M$11,"Unknown"),"Unknown")</f>
        <v>Unknown</v>
      </c>
      <c r="E116" s="38" t="str">
        <f aca="false">Raw_Transactions!D116</f>
        <v>Software Licenses</v>
      </c>
      <c r="F116" s="38" t="str">
        <f aca="false">Raw_Transactions!E116</f>
        <v>Antivirus subscription</v>
      </c>
      <c r="G116" s="39" t="n">
        <f aca="false">Raw_Transactions!F116</f>
        <v>761146.07</v>
      </c>
      <c r="H116" s="17" t="str">
        <f aca="false">Raw_Transactions!G116</f>
        <v>Chukwu A.</v>
      </c>
      <c r="I116" s="40" t="str">
        <f aca="false">IFERROR(xlookup(Raw_Transactions!H116,$O$2:$O$6,$P$2:$P$6,"Unknown"),"Unknown")</f>
        <v>Unknown</v>
      </c>
      <c r="J116" s="17" t="str">
        <f aca="false">IF(C116&lt;=3,"Q1",IF(C116&lt;=6,"Q2",IF(C116&lt;=9,"Q3","Q4")))</f>
        <v>Q2</v>
      </c>
    </row>
    <row r="117" customFormat="false" ht="15" hidden="false" customHeight="false" outlineLevel="0" collapsed="false">
      <c r="A117" s="22" t="str">
        <f aca="false">Raw_Transactions!A117</f>
        <v>TXN-1116</v>
      </c>
      <c r="B117" s="22" t="str">
        <f aca="false">Raw_Transactions!B117</f>
        <v>17/04/2024</v>
      </c>
      <c r="C117" s="22" t="n">
        <f aca="false">IFERROR(VALUE(MID(Raw_Transactions!B117,4,2)),"")</f>
        <v>4</v>
      </c>
      <c r="D117" s="43" t="str">
        <f aca="false">IFERROR(xlookup(Raw_Transactions!C117,$L$2:$L$11,$M$2:$M$11,"Unknown"),"Unknown")</f>
        <v>Unknown</v>
      </c>
      <c r="E117" s="44" t="str">
        <f aca="false">Raw_Transactions!D117</f>
        <v>Marketing</v>
      </c>
      <c r="F117" s="44" t="str">
        <f aca="false">Raw_Transactions!E117</f>
        <v>Event sponsorship</v>
      </c>
      <c r="G117" s="45" t="n">
        <f aca="false">Raw_Transactions!F117</f>
        <v>1946630.24</v>
      </c>
      <c r="H117" s="22" t="str">
        <f aca="false">Raw_Transactions!G117</f>
        <v>Nwachukwu F.</v>
      </c>
      <c r="I117" s="46" t="str">
        <f aca="false">IFERROR(xlookup(Raw_Transactions!H117,$O$2:$O$6,$P$2:$P$6,"Unknown"),"Unknown")</f>
        <v>Unknown</v>
      </c>
      <c r="J117" s="22" t="str">
        <f aca="false">IF(C117&lt;=3,"Q1",IF(C117&lt;=6,"Q2",IF(C117&lt;=9,"Q3","Q4")))</f>
        <v>Q2</v>
      </c>
    </row>
    <row r="118" customFormat="false" ht="15" hidden="false" customHeight="false" outlineLevel="0" collapsed="false">
      <c r="A118" s="17" t="str">
        <f aca="false">Raw_Transactions!A118</f>
        <v>TXN-1117</v>
      </c>
      <c r="B118" s="17" t="str">
        <f aca="false">Raw_Transactions!B118</f>
        <v>19/08/2024</v>
      </c>
      <c r="C118" s="17" t="n">
        <f aca="false">IFERROR(VALUE(MID(Raw_Transactions!B118,4,2)),"")</f>
        <v>8</v>
      </c>
      <c r="D118" s="37" t="str">
        <f aca="false">IFERROR(xlookup(Raw_Transactions!C118,$L$2:$L$11,$M$2:$M$11,"Unknown"),"Unknown")</f>
        <v>Unknown</v>
      </c>
      <c r="E118" s="38" t="str">
        <f aca="false">Raw_Transactions!D118</f>
        <v>Utilities</v>
      </c>
      <c r="F118" s="38" t="str">
        <f aca="false">Raw_Transactions!E118</f>
        <v>Generator maintenance</v>
      </c>
      <c r="G118" s="39" t="n">
        <f aca="false">Raw_Transactions!F118</f>
        <v>3078858.59</v>
      </c>
      <c r="H118" s="17" t="str">
        <f aca="false">Raw_Transactions!G118</f>
        <v>Bello R.</v>
      </c>
      <c r="I118" s="40" t="str">
        <f aca="false">IFERROR(xlookup(Raw_Transactions!H118,$O$2:$O$6,$P$2:$P$6,"Unknown"),"Unknown")</f>
        <v>Unknown</v>
      </c>
      <c r="J118" s="17" t="str">
        <f aca="false">IF(C118&lt;=3,"Q1",IF(C118&lt;=6,"Q2",IF(C118&lt;=9,"Q3","Q4")))</f>
        <v>Q3</v>
      </c>
    </row>
    <row r="119" customFormat="false" ht="15" hidden="false" customHeight="false" outlineLevel="0" collapsed="false">
      <c r="A119" s="22" t="str">
        <f aca="false">Raw_Transactions!A119</f>
        <v>TXN-1118</v>
      </c>
      <c r="B119" s="22" t="str">
        <f aca="false">Raw_Transactions!B119</f>
        <v>10/08/2024</v>
      </c>
      <c r="C119" s="22" t="n">
        <f aca="false">IFERROR(VALUE(MID(Raw_Transactions!B119,4,2)),"")</f>
        <v>8</v>
      </c>
      <c r="D119" s="43" t="str">
        <f aca="false">IFERROR(xlookup(Raw_Transactions!C119,$L$2:$L$11,$M$2:$M$11,"Unknown"),"Unknown")</f>
        <v>Unknown</v>
      </c>
      <c r="E119" s="44" t="str">
        <f aca="false">Raw_Transactions!D119</f>
        <v>Consulting Fees</v>
      </c>
      <c r="F119" s="44" t="str">
        <f aca="false">Raw_Transactions!E119</f>
        <v>Legal advisory</v>
      </c>
      <c r="G119" s="45" t="n">
        <f aca="false">Raw_Transactions!F119</f>
        <v>3005780.62</v>
      </c>
      <c r="H119" s="22" t="str">
        <f aca="false">Raw_Transactions!G119</f>
        <v>Okafor M.</v>
      </c>
      <c r="I119" s="46" t="str">
        <f aca="false">IFERROR(xlookup(Raw_Transactions!H119,$O$2:$O$6,$P$2:$P$6,"Unknown"),"Unknown")</f>
        <v>Unknown</v>
      </c>
      <c r="J119" s="22" t="str">
        <f aca="false">IF(C119&lt;=3,"Q1",IF(C119&lt;=6,"Q2",IF(C119&lt;=9,"Q3","Q4")))</f>
        <v>Q3</v>
      </c>
    </row>
    <row r="120" customFormat="false" ht="15" hidden="false" customHeight="false" outlineLevel="0" collapsed="false">
      <c r="A120" s="17" t="str">
        <f aca="false">Raw_Transactions!A120</f>
        <v>TXN-1119</v>
      </c>
      <c r="B120" s="17" t="str">
        <f aca="false">Raw_Transactions!B120</f>
        <v>09/12/2024</v>
      </c>
      <c r="C120" s="17" t="n">
        <f aca="false">IFERROR(VALUE(MID(Raw_Transactions!B120,4,2)),"")</f>
        <v>12</v>
      </c>
      <c r="D120" s="37" t="str">
        <f aca="false">IFERROR(xlookup(Raw_Transactions!C120,$L$2:$L$11,$M$2:$M$11,"Unknown"),"Unknown")</f>
        <v>Unknown</v>
      </c>
      <c r="E120" s="38" t="str">
        <f aca="false">Raw_Transactions!D120</f>
        <v>Training</v>
      </c>
      <c r="F120" s="38" t="str">
        <f aca="false">Raw_Transactions!E120</f>
        <v>PMP certification</v>
      </c>
      <c r="G120" s="39" t="n">
        <f aca="false">Raw_Transactions!F120</f>
        <v>4329700.39</v>
      </c>
      <c r="H120" s="17" t="str">
        <f aca="false">Raw_Transactions!G120</f>
        <v>Nwachukwu F.</v>
      </c>
      <c r="I120" s="40" t="str">
        <f aca="false">IFERROR(xlookup(Raw_Transactions!H120,$O$2:$O$6,$P$2:$P$6,"Unknown"),"Unknown")</f>
        <v>Unknown</v>
      </c>
      <c r="J120" s="17" t="str">
        <f aca="false">IF(C120&lt;=3,"Q1",IF(C120&lt;=6,"Q2",IF(C120&lt;=9,"Q3","Q4")))</f>
        <v>Q4</v>
      </c>
    </row>
    <row r="121" customFormat="false" ht="15" hidden="false" customHeight="false" outlineLevel="0" collapsed="false">
      <c r="A121" s="22" t="str">
        <f aca="false">Raw_Transactions!A121</f>
        <v>TXN-1120</v>
      </c>
      <c r="B121" s="22" t="str">
        <f aca="false">Raw_Transactions!B121</f>
        <v>19/06/2024</v>
      </c>
      <c r="C121" s="22" t="n">
        <f aca="false">IFERROR(VALUE(MID(Raw_Transactions!B121,4,2)),"")</f>
        <v>6</v>
      </c>
      <c r="D121" s="43" t="str">
        <f aca="false">IFERROR(xlookup(Raw_Transactions!C121,$L$2:$L$11,$M$2:$M$11,"Unknown"),"Unknown")</f>
        <v>Unknown</v>
      </c>
      <c r="E121" s="44" t="str">
        <f aca="false">Raw_Transactions!D121</f>
        <v>Software Licenses</v>
      </c>
      <c r="F121" s="44" t="str">
        <f aca="false">Raw_Transactions!E121</f>
        <v>Microsoft 365 renewal</v>
      </c>
      <c r="G121" s="45" t="n">
        <f aca="false">Raw_Transactions!F121</f>
        <v>1725418.87</v>
      </c>
      <c r="H121" s="22" t="str">
        <f aca="false">Raw_Transactions!G121</f>
        <v>Adeyemi T.</v>
      </c>
      <c r="I121" s="46" t="str">
        <f aca="false">IFERROR(xlookup(Raw_Transactions!H121,$O$2:$O$6,$P$2:$P$6,"Unknown"),"Unknown")</f>
        <v>Unknown</v>
      </c>
      <c r="J121" s="22" t="str">
        <f aca="false">IF(C121&lt;=3,"Q1",IF(C121&lt;=6,"Q2",IF(C121&lt;=9,"Q3","Q4")))</f>
        <v>Q2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6" min="3" style="0" width="16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8"/>
  </cols>
  <sheetData>
    <row r="1" customFormat="false" ht="30" hidden="false" customHeight="true" outlineLevel="0" collapsed="false">
      <c r="A1" s="47" t="s">
        <v>326</v>
      </c>
      <c r="B1" s="47"/>
      <c r="C1" s="47"/>
      <c r="D1" s="47"/>
      <c r="E1" s="47"/>
      <c r="F1" s="47"/>
      <c r="G1" s="47"/>
      <c r="H1" s="47"/>
    </row>
    <row r="2" customFormat="false" ht="15" hidden="false" customHeight="false" outlineLevel="0" collapsed="false">
      <c r="A2" s="48" t="s">
        <v>327</v>
      </c>
      <c r="B2" s="48"/>
      <c r="C2" s="48"/>
      <c r="D2" s="48"/>
      <c r="E2" s="48"/>
      <c r="F2" s="48"/>
      <c r="G2" s="48"/>
      <c r="H2" s="48"/>
    </row>
    <row r="4" customFormat="false" ht="21.75" hidden="false" customHeight="true" outlineLevel="0" collapsed="false">
      <c r="A4" s="13" t="s">
        <v>8</v>
      </c>
      <c r="B4" s="13" t="s">
        <v>328</v>
      </c>
      <c r="C4" s="13" t="s">
        <v>329</v>
      </c>
      <c r="D4" s="13" t="s">
        <v>330</v>
      </c>
      <c r="E4" s="13" t="s">
        <v>331</v>
      </c>
      <c r="F4" s="13" t="s">
        <v>332</v>
      </c>
      <c r="G4" s="13" t="s">
        <v>333</v>
      </c>
      <c r="H4" s="13" t="s">
        <v>334</v>
      </c>
      <c r="I4" s="13" t="s">
        <v>335</v>
      </c>
      <c r="J4" s="13" t="s">
        <v>12</v>
      </c>
    </row>
    <row r="5" customFormat="false" ht="15" hidden="false" customHeight="false" outlineLevel="0" collapsed="false">
      <c r="A5" s="49" t="s">
        <v>16</v>
      </c>
      <c r="B5" s="50" t="n">
        <v>45000000</v>
      </c>
      <c r="C5" s="50" t="n">
        <v>9848697</v>
      </c>
      <c r="D5" s="50" t="n">
        <v>8914586</v>
      </c>
      <c r="E5" s="50" t="n">
        <v>11615046</v>
      </c>
      <c r="F5" s="50" t="n">
        <v>8491156</v>
      </c>
      <c r="G5" s="51" t="n">
        <f aca="false">SUM(C5:F5)</f>
        <v>38869485</v>
      </c>
      <c r="H5" s="51" t="n">
        <f aca="false">G5-B5</f>
        <v>-6130515</v>
      </c>
      <c r="I5" s="52" t="n">
        <f aca="false">IFERROR(H5/B5,0)</f>
        <v>-0.136233666666667</v>
      </c>
      <c r="J5" s="53" t="str">
        <f aca="false">IF(H5&gt;=0,"✅ Under Budget",IF(H5&gt;=-B5*0.1,"⚠️ Near Limit","❌ Over Budget"))</f>
        <v>❌ Over Budget</v>
      </c>
    </row>
    <row r="6" customFormat="false" ht="15" hidden="false" customHeight="false" outlineLevel="0" collapsed="false">
      <c r="A6" s="15" t="s">
        <v>17</v>
      </c>
      <c r="B6" s="54" t="n">
        <v>38000000</v>
      </c>
      <c r="C6" s="54" t="n">
        <v>9283622</v>
      </c>
      <c r="D6" s="54" t="n">
        <v>8507541</v>
      </c>
      <c r="E6" s="54" t="n">
        <v>7104475</v>
      </c>
      <c r="F6" s="54" t="n">
        <v>9153907</v>
      </c>
      <c r="G6" s="55" t="n">
        <f aca="false">SUM(C6:F6)</f>
        <v>34049545</v>
      </c>
      <c r="H6" s="55" t="n">
        <f aca="false">G6-B6</f>
        <v>-3950455</v>
      </c>
      <c r="I6" s="18" t="n">
        <f aca="false">IFERROR(H6/B6,0)</f>
        <v>-0.103959342105263</v>
      </c>
      <c r="J6" s="17" t="str">
        <f aca="false">IF(H6&gt;=0,"✅ Under Budget",IF(H6&gt;=-B6*0.1,"⚠️ Near Limit","❌ Over Budget"))</f>
        <v>❌ Over Budget</v>
      </c>
    </row>
    <row r="7" customFormat="false" ht="15" hidden="false" customHeight="false" outlineLevel="0" collapsed="false">
      <c r="A7" s="49" t="s">
        <v>18</v>
      </c>
      <c r="B7" s="50" t="n">
        <v>22000000</v>
      </c>
      <c r="C7" s="50" t="n">
        <v>4058989</v>
      </c>
      <c r="D7" s="50" t="n">
        <v>5104825</v>
      </c>
      <c r="E7" s="50" t="n">
        <v>4144418</v>
      </c>
      <c r="F7" s="50" t="n">
        <v>4199482</v>
      </c>
      <c r="G7" s="51" t="n">
        <f aca="false">SUM(C7:F7)</f>
        <v>17507714</v>
      </c>
      <c r="H7" s="51" t="n">
        <f aca="false">G7-B7</f>
        <v>-4492286</v>
      </c>
      <c r="I7" s="52" t="n">
        <f aca="false">IFERROR(H7/B7,0)</f>
        <v>-0.204194818181818</v>
      </c>
      <c r="J7" s="53" t="str">
        <f aca="false">IF(H7&gt;=0,"✅ Under Budget",IF(H7&gt;=-B7*0.1,"⚠️ Near Limit","❌ Over Budget"))</f>
        <v>❌ Over Budget</v>
      </c>
    </row>
    <row r="8" customFormat="false" ht="15" hidden="false" customHeight="false" outlineLevel="0" collapsed="false">
      <c r="A8" s="15" t="s">
        <v>19</v>
      </c>
      <c r="B8" s="54" t="n">
        <v>18500000</v>
      </c>
      <c r="C8" s="54" t="n">
        <v>4272433</v>
      </c>
      <c r="D8" s="54" t="n">
        <v>5165612</v>
      </c>
      <c r="E8" s="54" t="n">
        <v>3604840</v>
      </c>
      <c r="F8" s="54" t="n">
        <v>3825591</v>
      </c>
      <c r="G8" s="55" t="n">
        <f aca="false">SUM(C8:F8)</f>
        <v>16868476</v>
      </c>
      <c r="H8" s="55" t="n">
        <f aca="false">G8-B8</f>
        <v>-1631524</v>
      </c>
      <c r="I8" s="18" t="n">
        <f aca="false">IFERROR(H8/B8,0)</f>
        <v>-0.0881904864864865</v>
      </c>
      <c r="J8" s="17" t="str">
        <f aca="false">IF(H8&gt;=0,"✅ Under Budget",IF(H8&gt;=-B8*0.1,"⚠️ Near Limit","❌ Over Budget"))</f>
        <v>⚠️ Near Limit</v>
      </c>
    </row>
    <row r="9" customFormat="false" ht="15" hidden="false" customHeight="false" outlineLevel="0" collapsed="false">
      <c r="A9" s="49" t="s">
        <v>20</v>
      </c>
      <c r="B9" s="50" t="n">
        <v>15000000</v>
      </c>
      <c r="C9" s="50" t="n">
        <v>3829380</v>
      </c>
      <c r="D9" s="50" t="n">
        <v>4405876</v>
      </c>
      <c r="E9" s="50" t="n">
        <v>3738785</v>
      </c>
      <c r="F9" s="50" t="n">
        <v>3414025</v>
      </c>
      <c r="G9" s="51" t="n">
        <f aca="false">SUM(C9:F9)</f>
        <v>15388066</v>
      </c>
      <c r="H9" s="51" t="n">
        <f aca="false">G9-B9</f>
        <v>388066</v>
      </c>
      <c r="I9" s="52" t="n">
        <f aca="false">IFERROR(H9/B9,0)</f>
        <v>0.0258710666666667</v>
      </c>
      <c r="J9" s="53" t="str">
        <f aca="false">IF(H9&gt;=0,"✅ Under Budget",IF(H9&gt;=-B9*0.1,"⚠️ Near Limit","❌ Over Budget"))</f>
        <v>✅ Under Budget</v>
      </c>
    </row>
    <row r="10" customFormat="false" ht="15" hidden="false" customHeight="false" outlineLevel="0" collapsed="false">
      <c r="A10" s="15" t="s">
        <v>21</v>
      </c>
      <c r="B10" s="54" t="n">
        <v>25000000</v>
      </c>
      <c r="C10" s="54" t="n">
        <v>7428765</v>
      </c>
      <c r="D10" s="54" t="n">
        <v>4639748</v>
      </c>
      <c r="E10" s="54" t="n">
        <v>7075405</v>
      </c>
      <c r="F10" s="54" t="n">
        <v>5368828</v>
      </c>
      <c r="G10" s="55" t="n">
        <f aca="false">SUM(C10:F10)</f>
        <v>24512746</v>
      </c>
      <c r="H10" s="55" t="n">
        <f aca="false">G10-B10</f>
        <v>-487254</v>
      </c>
      <c r="I10" s="18" t="n">
        <f aca="false">IFERROR(H10/B10,0)</f>
        <v>-0.01949016</v>
      </c>
      <c r="J10" s="17" t="str">
        <f aca="false">IF(H10&gt;=0,"✅ Under Budget",IF(H10&gt;=-B10*0.1,"⚠️ Near Limit","❌ Over Budget"))</f>
        <v>⚠️ Near Limit</v>
      </c>
    </row>
    <row r="11" customFormat="false" ht="15" hidden="false" customHeight="false" outlineLevel="0" collapsed="false">
      <c r="A11" s="13" t="s">
        <v>22</v>
      </c>
      <c r="B11" s="25" t="n">
        <f aca="false">SUM(B5:B10)</f>
        <v>163500000</v>
      </c>
      <c r="C11" s="25" t="n">
        <f aca="false">SUM(C5:C10)</f>
        <v>38721886</v>
      </c>
      <c r="D11" s="25" t="n">
        <f aca="false">SUM(D5:D10)</f>
        <v>36738188</v>
      </c>
      <c r="E11" s="25" t="n">
        <f aca="false">SUM(E5:E10)</f>
        <v>37282969</v>
      </c>
      <c r="F11" s="25" t="n">
        <f aca="false">SUM(F5:F10)</f>
        <v>34452989</v>
      </c>
      <c r="G11" s="25" t="n">
        <f aca="false">SUM(G5:G10)</f>
        <v>147196032</v>
      </c>
      <c r="H11" s="25" t="n">
        <f aca="false">SUM(H5:H10)</f>
        <v>-16303968</v>
      </c>
      <c r="I11" s="56" t="n">
        <f aca="false">SUM(I5:I10)</f>
        <v>-0.526197406773568</v>
      </c>
      <c r="J11" s="26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3" min="2" style="0" width="11"/>
    <col collapsed="false" customWidth="true" hidden="false" outlineLevel="0" max="14" min="14" style="0" width="14"/>
    <col collapsed="false" customWidth="true" hidden="false" outlineLevel="0" max="16" min="15" style="0" width="12"/>
  </cols>
  <sheetData>
    <row r="1" customFormat="false" ht="27.75" hidden="false" customHeight="true" outlineLevel="0" collapsed="false">
      <c r="A1" s="47" t="s">
        <v>336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3" customFormat="false" ht="19.5" hidden="false" customHeight="true" outlineLevel="0" collapsed="false">
      <c r="A3" s="13" t="s">
        <v>8</v>
      </c>
      <c r="B3" s="13" t="s">
        <v>314</v>
      </c>
      <c r="C3" s="13" t="s">
        <v>315</v>
      </c>
      <c r="D3" s="13" t="s">
        <v>316</v>
      </c>
      <c r="E3" s="13" t="s">
        <v>317</v>
      </c>
      <c r="F3" s="13" t="s">
        <v>318</v>
      </c>
      <c r="G3" s="13" t="s">
        <v>319</v>
      </c>
      <c r="H3" s="13" t="s">
        <v>320</v>
      </c>
      <c r="I3" s="13" t="s">
        <v>321</v>
      </c>
      <c r="J3" s="13" t="s">
        <v>322</v>
      </c>
      <c r="K3" s="13" t="s">
        <v>323</v>
      </c>
      <c r="L3" s="13" t="s">
        <v>324</v>
      </c>
      <c r="M3" s="13" t="s">
        <v>325</v>
      </c>
      <c r="N3" s="13" t="s">
        <v>337</v>
      </c>
      <c r="O3" s="13" t="s">
        <v>338</v>
      </c>
      <c r="P3" s="13" t="s">
        <v>339</v>
      </c>
    </row>
    <row r="4" customFormat="false" ht="15" hidden="false" customHeight="false" outlineLevel="0" collapsed="false">
      <c r="A4" s="15" t="s">
        <v>16</v>
      </c>
      <c r="B4" s="16" t="n">
        <f aca="false">IFERROR(SUMIFS(Cleaned_Data!G$2:G$121,Cleaned_Data!D$2:D$121,A4,Cleaned_Data!C$2:C$121,1),0)</f>
        <v>0</v>
      </c>
      <c r="C4" s="16" t="n">
        <f aca="false">IFERROR(SUMIFS(Cleaned_Data!G$2:G$121,Cleaned_Data!D$2:D$121,A4,Cleaned_Data!C$2:C$121,2),0)</f>
        <v>0</v>
      </c>
      <c r="D4" s="16" t="n">
        <f aca="false">IFERROR(SUMIFS(Cleaned_Data!G$2:G$121,Cleaned_Data!D$2:D$121,A4,Cleaned_Data!C$2:C$121,3),0)</f>
        <v>0</v>
      </c>
      <c r="E4" s="16" t="n">
        <f aca="false">IFERROR(SUMIFS(Cleaned_Data!G$2:G$121,Cleaned_Data!D$2:D$121,A4,Cleaned_Data!C$2:C$121,4),0)</f>
        <v>0</v>
      </c>
      <c r="F4" s="16" t="n">
        <f aca="false">IFERROR(SUMIFS(Cleaned_Data!G$2:G$121,Cleaned_Data!D$2:D$121,A4,Cleaned_Data!C$2:C$121,5),0)</f>
        <v>0</v>
      </c>
      <c r="G4" s="16" t="n">
        <f aca="false">IFERROR(SUMIFS(Cleaned_Data!G$2:G$121,Cleaned_Data!D$2:D$121,A4,Cleaned_Data!C$2:C$121,6),0)</f>
        <v>0</v>
      </c>
      <c r="H4" s="16" t="n">
        <f aca="false">IFERROR(SUMIFS(Cleaned_Data!G$2:G$121,Cleaned_Data!D$2:D$121,A4,Cleaned_Data!C$2:C$121,7),0)</f>
        <v>0</v>
      </c>
      <c r="I4" s="16" t="n">
        <f aca="false">IFERROR(SUMIFS(Cleaned_Data!G$2:G$121,Cleaned_Data!D$2:D$121,A4,Cleaned_Data!C$2:C$121,8),0)</f>
        <v>0</v>
      </c>
      <c r="J4" s="16" t="n">
        <f aca="false">IFERROR(SUMIFS(Cleaned_Data!G$2:G$121,Cleaned_Data!D$2:D$121,A4,Cleaned_Data!C$2:C$121,9),0)</f>
        <v>0</v>
      </c>
      <c r="K4" s="16" t="n">
        <f aca="false">IFERROR(SUMIFS(Cleaned_Data!G$2:G$121,Cleaned_Data!D$2:D$121,A4,Cleaned_Data!C$2:C$121,10),0)</f>
        <v>0</v>
      </c>
      <c r="L4" s="16" t="n">
        <f aca="false">IFERROR(SUMIFS(Cleaned_Data!G$2:G$121,Cleaned_Data!D$2:D$121,A4,Cleaned_Data!C$2:C$121,11),0)</f>
        <v>0</v>
      </c>
      <c r="M4" s="16" t="n">
        <f aca="false">IFERROR(SUMIFS(Cleaned_Data!G$2:G$121,Cleaned_Data!D$2:D$121,A4,Cleaned_Data!C$2:C$121,12),0)</f>
        <v>0</v>
      </c>
      <c r="N4" s="55" t="n">
        <f aca="false">SUM(B4:M4)</f>
        <v>0</v>
      </c>
      <c r="O4" s="16" t="n">
        <f aca="false">IFERROR(N4/COUNTIF(B4:M4,"&gt;0"),0)</f>
        <v>0</v>
      </c>
      <c r="P4" s="57" t="str">
        <f aca="false">IFERROR(INDEX($B$3:$M$3,MATCH(MAX(B4:M4),B4:M4,0)),"N/A")</f>
        <v>Jan</v>
      </c>
    </row>
    <row r="5" customFormat="false" ht="15" hidden="false" customHeight="false" outlineLevel="0" collapsed="false">
      <c r="A5" s="20" t="s">
        <v>17</v>
      </c>
      <c r="B5" s="21" t="n">
        <f aca="false">IFERROR(SUMIFS(Cleaned_Data!G$2:G$121,Cleaned_Data!D$2:D$121,A5,Cleaned_Data!C$2:C$121,1),0)</f>
        <v>0</v>
      </c>
      <c r="C5" s="21" t="n">
        <f aca="false">IFERROR(SUMIFS(Cleaned_Data!G$2:G$121,Cleaned_Data!D$2:D$121,A5,Cleaned_Data!C$2:C$121,2),0)</f>
        <v>0</v>
      </c>
      <c r="D5" s="21" t="n">
        <f aca="false">IFERROR(SUMIFS(Cleaned_Data!G$2:G$121,Cleaned_Data!D$2:D$121,A5,Cleaned_Data!C$2:C$121,3),0)</f>
        <v>0</v>
      </c>
      <c r="E5" s="21" t="n">
        <f aca="false">IFERROR(SUMIFS(Cleaned_Data!G$2:G$121,Cleaned_Data!D$2:D$121,A5,Cleaned_Data!C$2:C$121,4),0)</f>
        <v>0</v>
      </c>
      <c r="F5" s="21" t="n">
        <f aca="false">IFERROR(SUMIFS(Cleaned_Data!G$2:G$121,Cleaned_Data!D$2:D$121,A5,Cleaned_Data!C$2:C$121,5),0)</f>
        <v>0</v>
      </c>
      <c r="G5" s="21" t="n">
        <f aca="false">IFERROR(SUMIFS(Cleaned_Data!G$2:G$121,Cleaned_Data!D$2:D$121,A5,Cleaned_Data!C$2:C$121,6),0)</f>
        <v>0</v>
      </c>
      <c r="H5" s="21" t="n">
        <f aca="false">IFERROR(SUMIFS(Cleaned_Data!G$2:G$121,Cleaned_Data!D$2:D$121,A5,Cleaned_Data!C$2:C$121,7),0)</f>
        <v>0</v>
      </c>
      <c r="I5" s="21" t="n">
        <f aca="false">IFERROR(SUMIFS(Cleaned_Data!G$2:G$121,Cleaned_Data!D$2:D$121,A5,Cleaned_Data!C$2:C$121,8),0)</f>
        <v>0</v>
      </c>
      <c r="J5" s="21" t="n">
        <f aca="false">IFERROR(SUMIFS(Cleaned_Data!G$2:G$121,Cleaned_Data!D$2:D$121,A5,Cleaned_Data!C$2:C$121,9),0)</f>
        <v>0</v>
      </c>
      <c r="K5" s="21" t="n">
        <f aca="false">IFERROR(SUMIFS(Cleaned_Data!G$2:G$121,Cleaned_Data!D$2:D$121,A5,Cleaned_Data!C$2:C$121,10),0)</f>
        <v>0</v>
      </c>
      <c r="L5" s="21" t="n">
        <f aca="false">IFERROR(SUMIFS(Cleaned_Data!G$2:G$121,Cleaned_Data!D$2:D$121,A5,Cleaned_Data!C$2:C$121,11),0)</f>
        <v>0</v>
      </c>
      <c r="M5" s="21" t="n">
        <f aca="false">IFERROR(SUMIFS(Cleaned_Data!G$2:G$121,Cleaned_Data!D$2:D$121,A5,Cleaned_Data!C$2:C$121,12),0)</f>
        <v>0</v>
      </c>
      <c r="N5" s="58" t="n">
        <f aca="false">SUM(B5:M5)</f>
        <v>0</v>
      </c>
      <c r="O5" s="21" t="n">
        <f aca="false">IFERROR(N5/COUNTIF(B5:M5,"&gt;0"),0)</f>
        <v>0</v>
      </c>
      <c r="P5" s="59" t="str">
        <f aca="false">IFERROR(INDEX($B$3:$M$3,MATCH(MAX(B5:M5),B5:M5,0)),"N/A")</f>
        <v>Jan</v>
      </c>
    </row>
    <row r="6" customFormat="false" ht="15" hidden="false" customHeight="false" outlineLevel="0" collapsed="false">
      <c r="A6" s="15" t="s">
        <v>18</v>
      </c>
      <c r="B6" s="16" t="n">
        <f aca="false">IFERROR(SUMIFS(Cleaned_Data!G$2:G$121,Cleaned_Data!D$2:D$121,A6,Cleaned_Data!C$2:C$121,1),0)</f>
        <v>0</v>
      </c>
      <c r="C6" s="16" t="n">
        <f aca="false">IFERROR(SUMIFS(Cleaned_Data!G$2:G$121,Cleaned_Data!D$2:D$121,A6,Cleaned_Data!C$2:C$121,2),0)</f>
        <v>0</v>
      </c>
      <c r="D6" s="16" t="n">
        <f aca="false">IFERROR(SUMIFS(Cleaned_Data!G$2:G$121,Cleaned_Data!D$2:D$121,A6,Cleaned_Data!C$2:C$121,3),0)</f>
        <v>0</v>
      </c>
      <c r="E6" s="16" t="n">
        <f aca="false">IFERROR(SUMIFS(Cleaned_Data!G$2:G$121,Cleaned_Data!D$2:D$121,A6,Cleaned_Data!C$2:C$121,4),0)</f>
        <v>0</v>
      </c>
      <c r="F6" s="16" t="n">
        <f aca="false">IFERROR(SUMIFS(Cleaned_Data!G$2:G$121,Cleaned_Data!D$2:D$121,A6,Cleaned_Data!C$2:C$121,5),0)</f>
        <v>0</v>
      </c>
      <c r="G6" s="16" t="n">
        <f aca="false">IFERROR(SUMIFS(Cleaned_Data!G$2:G$121,Cleaned_Data!D$2:D$121,A6,Cleaned_Data!C$2:C$121,6),0)</f>
        <v>0</v>
      </c>
      <c r="H6" s="16" t="n">
        <f aca="false">IFERROR(SUMIFS(Cleaned_Data!G$2:G$121,Cleaned_Data!D$2:D$121,A6,Cleaned_Data!C$2:C$121,7),0)</f>
        <v>0</v>
      </c>
      <c r="I6" s="16" t="n">
        <f aca="false">IFERROR(SUMIFS(Cleaned_Data!G$2:G$121,Cleaned_Data!D$2:D$121,A6,Cleaned_Data!C$2:C$121,8),0)</f>
        <v>0</v>
      </c>
      <c r="J6" s="16" t="n">
        <f aca="false">IFERROR(SUMIFS(Cleaned_Data!G$2:G$121,Cleaned_Data!D$2:D$121,A6,Cleaned_Data!C$2:C$121,9),0)</f>
        <v>0</v>
      </c>
      <c r="K6" s="16" t="n">
        <f aca="false">IFERROR(SUMIFS(Cleaned_Data!G$2:G$121,Cleaned_Data!D$2:D$121,A6,Cleaned_Data!C$2:C$121,10),0)</f>
        <v>0</v>
      </c>
      <c r="L6" s="16" t="n">
        <f aca="false">IFERROR(SUMIFS(Cleaned_Data!G$2:G$121,Cleaned_Data!D$2:D$121,A6,Cleaned_Data!C$2:C$121,11),0)</f>
        <v>0</v>
      </c>
      <c r="M6" s="16" t="n">
        <f aca="false">IFERROR(SUMIFS(Cleaned_Data!G$2:G$121,Cleaned_Data!D$2:D$121,A6,Cleaned_Data!C$2:C$121,12),0)</f>
        <v>0</v>
      </c>
      <c r="N6" s="55" t="n">
        <f aca="false">SUM(B6:M6)</f>
        <v>0</v>
      </c>
      <c r="O6" s="16" t="n">
        <f aca="false">IFERROR(N6/COUNTIF(B6:M6,"&gt;0"),0)</f>
        <v>0</v>
      </c>
      <c r="P6" s="57" t="str">
        <f aca="false">IFERROR(INDEX($B$3:$M$3,MATCH(MAX(B6:M6),B6:M6,0)),"N/A")</f>
        <v>Jan</v>
      </c>
    </row>
    <row r="7" customFormat="false" ht="15" hidden="false" customHeight="false" outlineLevel="0" collapsed="false">
      <c r="A7" s="20" t="s">
        <v>19</v>
      </c>
      <c r="B7" s="21" t="n">
        <f aca="false">IFERROR(SUMIFS(Cleaned_Data!G$2:G$121,Cleaned_Data!D$2:D$121,A7,Cleaned_Data!C$2:C$121,1),0)</f>
        <v>0</v>
      </c>
      <c r="C7" s="21" t="n">
        <f aca="false">IFERROR(SUMIFS(Cleaned_Data!G$2:G$121,Cleaned_Data!D$2:D$121,A7,Cleaned_Data!C$2:C$121,2),0)</f>
        <v>0</v>
      </c>
      <c r="D7" s="21" t="n">
        <f aca="false">IFERROR(SUMIFS(Cleaned_Data!G$2:G$121,Cleaned_Data!D$2:D$121,A7,Cleaned_Data!C$2:C$121,3),0)</f>
        <v>0</v>
      </c>
      <c r="E7" s="21" t="n">
        <f aca="false">IFERROR(SUMIFS(Cleaned_Data!G$2:G$121,Cleaned_Data!D$2:D$121,A7,Cleaned_Data!C$2:C$121,4),0)</f>
        <v>0</v>
      </c>
      <c r="F7" s="21" t="n">
        <f aca="false">IFERROR(SUMIFS(Cleaned_Data!G$2:G$121,Cleaned_Data!D$2:D$121,A7,Cleaned_Data!C$2:C$121,5),0)</f>
        <v>0</v>
      </c>
      <c r="G7" s="21" t="n">
        <f aca="false">IFERROR(SUMIFS(Cleaned_Data!G$2:G$121,Cleaned_Data!D$2:D$121,A7,Cleaned_Data!C$2:C$121,6),0)</f>
        <v>0</v>
      </c>
      <c r="H7" s="21" t="n">
        <f aca="false">IFERROR(SUMIFS(Cleaned_Data!G$2:G$121,Cleaned_Data!D$2:D$121,A7,Cleaned_Data!C$2:C$121,7),0)</f>
        <v>0</v>
      </c>
      <c r="I7" s="21" t="n">
        <f aca="false">IFERROR(SUMIFS(Cleaned_Data!G$2:G$121,Cleaned_Data!D$2:D$121,A7,Cleaned_Data!C$2:C$121,8),0)</f>
        <v>0</v>
      </c>
      <c r="J7" s="21" t="n">
        <f aca="false">IFERROR(SUMIFS(Cleaned_Data!G$2:G$121,Cleaned_Data!D$2:D$121,A7,Cleaned_Data!C$2:C$121,9),0)</f>
        <v>0</v>
      </c>
      <c r="K7" s="21" t="n">
        <f aca="false">IFERROR(SUMIFS(Cleaned_Data!G$2:G$121,Cleaned_Data!D$2:D$121,A7,Cleaned_Data!C$2:C$121,10),0)</f>
        <v>0</v>
      </c>
      <c r="L7" s="21" t="n">
        <f aca="false">IFERROR(SUMIFS(Cleaned_Data!G$2:G$121,Cleaned_Data!D$2:D$121,A7,Cleaned_Data!C$2:C$121,11),0)</f>
        <v>0</v>
      </c>
      <c r="M7" s="21" t="n">
        <f aca="false">IFERROR(SUMIFS(Cleaned_Data!G$2:G$121,Cleaned_Data!D$2:D$121,A7,Cleaned_Data!C$2:C$121,12),0)</f>
        <v>0</v>
      </c>
      <c r="N7" s="58" t="n">
        <f aca="false">SUM(B7:M7)</f>
        <v>0</v>
      </c>
      <c r="O7" s="21" t="n">
        <f aca="false">IFERROR(N7/COUNTIF(B7:M7,"&gt;0"),0)</f>
        <v>0</v>
      </c>
      <c r="P7" s="59" t="str">
        <f aca="false">IFERROR(INDEX($B$3:$M$3,MATCH(MAX(B7:M7),B7:M7,0)),"N/A")</f>
        <v>Jan</v>
      </c>
    </row>
    <row r="8" customFormat="false" ht="15" hidden="false" customHeight="false" outlineLevel="0" collapsed="false">
      <c r="A8" s="15" t="s">
        <v>20</v>
      </c>
      <c r="B8" s="16" t="n">
        <f aca="false">IFERROR(SUMIFS(Cleaned_Data!G$2:G$121,Cleaned_Data!D$2:D$121,A8,Cleaned_Data!C$2:C$121,1),0)</f>
        <v>0</v>
      </c>
      <c r="C8" s="16" t="n">
        <f aca="false">IFERROR(SUMIFS(Cleaned_Data!G$2:G$121,Cleaned_Data!D$2:D$121,A8,Cleaned_Data!C$2:C$121,2),0)</f>
        <v>0</v>
      </c>
      <c r="D8" s="16" t="n">
        <f aca="false">IFERROR(SUMIFS(Cleaned_Data!G$2:G$121,Cleaned_Data!D$2:D$121,A8,Cleaned_Data!C$2:C$121,3),0)</f>
        <v>0</v>
      </c>
      <c r="E8" s="16" t="n">
        <f aca="false">IFERROR(SUMIFS(Cleaned_Data!G$2:G$121,Cleaned_Data!D$2:D$121,A8,Cleaned_Data!C$2:C$121,4),0)</f>
        <v>0</v>
      </c>
      <c r="F8" s="16" t="n">
        <f aca="false">IFERROR(SUMIFS(Cleaned_Data!G$2:G$121,Cleaned_Data!D$2:D$121,A8,Cleaned_Data!C$2:C$121,5),0)</f>
        <v>0</v>
      </c>
      <c r="G8" s="16" t="n">
        <f aca="false">IFERROR(SUMIFS(Cleaned_Data!G$2:G$121,Cleaned_Data!D$2:D$121,A8,Cleaned_Data!C$2:C$121,6),0)</f>
        <v>0</v>
      </c>
      <c r="H8" s="16" t="n">
        <f aca="false">IFERROR(SUMIFS(Cleaned_Data!G$2:G$121,Cleaned_Data!D$2:D$121,A8,Cleaned_Data!C$2:C$121,7),0)</f>
        <v>0</v>
      </c>
      <c r="I8" s="16" t="n">
        <f aca="false">IFERROR(SUMIFS(Cleaned_Data!G$2:G$121,Cleaned_Data!D$2:D$121,A8,Cleaned_Data!C$2:C$121,8),0)</f>
        <v>0</v>
      </c>
      <c r="J8" s="16" t="n">
        <f aca="false">IFERROR(SUMIFS(Cleaned_Data!G$2:G$121,Cleaned_Data!D$2:D$121,A8,Cleaned_Data!C$2:C$121,9),0)</f>
        <v>0</v>
      </c>
      <c r="K8" s="16" t="n">
        <f aca="false">IFERROR(SUMIFS(Cleaned_Data!G$2:G$121,Cleaned_Data!D$2:D$121,A8,Cleaned_Data!C$2:C$121,10),0)</f>
        <v>0</v>
      </c>
      <c r="L8" s="16" t="n">
        <f aca="false">IFERROR(SUMIFS(Cleaned_Data!G$2:G$121,Cleaned_Data!D$2:D$121,A8,Cleaned_Data!C$2:C$121,11),0)</f>
        <v>0</v>
      </c>
      <c r="M8" s="16" t="n">
        <f aca="false">IFERROR(SUMIFS(Cleaned_Data!G$2:G$121,Cleaned_Data!D$2:D$121,A8,Cleaned_Data!C$2:C$121,12),0)</f>
        <v>0</v>
      </c>
      <c r="N8" s="55" t="n">
        <f aca="false">SUM(B8:M8)</f>
        <v>0</v>
      </c>
      <c r="O8" s="16" t="n">
        <f aca="false">IFERROR(N8/COUNTIF(B8:M8,"&gt;0"),0)</f>
        <v>0</v>
      </c>
      <c r="P8" s="57" t="str">
        <f aca="false">IFERROR(INDEX($B$3:$M$3,MATCH(MAX(B8:M8),B8:M8,0)),"N/A")</f>
        <v>Jan</v>
      </c>
    </row>
    <row r="9" customFormat="false" ht="15" hidden="false" customHeight="false" outlineLevel="0" collapsed="false">
      <c r="A9" s="20" t="s">
        <v>21</v>
      </c>
      <c r="B9" s="21" t="n">
        <f aca="false">IFERROR(SUMIFS(Cleaned_Data!G$2:G$121,Cleaned_Data!D$2:D$121,A9,Cleaned_Data!C$2:C$121,1),0)</f>
        <v>0</v>
      </c>
      <c r="C9" s="21" t="n">
        <f aca="false">IFERROR(SUMIFS(Cleaned_Data!G$2:G$121,Cleaned_Data!D$2:D$121,A9,Cleaned_Data!C$2:C$121,2),0)</f>
        <v>0</v>
      </c>
      <c r="D9" s="21" t="n">
        <f aca="false">IFERROR(SUMIFS(Cleaned_Data!G$2:G$121,Cleaned_Data!D$2:D$121,A9,Cleaned_Data!C$2:C$121,3),0)</f>
        <v>0</v>
      </c>
      <c r="E9" s="21" t="n">
        <f aca="false">IFERROR(SUMIFS(Cleaned_Data!G$2:G$121,Cleaned_Data!D$2:D$121,A9,Cleaned_Data!C$2:C$121,4),0)</f>
        <v>0</v>
      </c>
      <c r="F9" s="21" t="n">
        <f aca="false">IFERROR(SUMIFS(Cleaned_Data!G$2:G$121,Cleaned_Data!D$2:D$121,A9,Cleaned_Data!C$2:C$121,5),0)</f>
        <v>0</v>
      </c>
      <c r="G9" s="21" t="n">
        <f aca="false">IFERROR(SUMIFS(Cleaned_Data!G$2:G$121,Cleaned_Data!D$2:D$121,A9,Cleaned_Data!C$2:C$121,6),0)</f>
        <v>0</v>
      </c>
      <c r="H9" s="21" t="n">
        <f aca="false">IFERROR(SUMIFS(Cleaned_Data!G$2:G$121,Cleaned_Data!D$2:D$121,A9,Cleaned_Data!C$2:C$121,7),0)</f>
        <v>0</v>
      </c>
      <c r="I9" s="21" t="n">
        <f aca="false">IFERROR(SUMIFS(Cleaned_Data!G$2:G$121,Cleaned_Data!D$2:D$121,A9,Cleaned_Data!C$2:C$121,8),0)</f>
        <v>0</v>
      </c>
      <c r="J9" s="21" t="n">
        <f aca="false">IFERROR(SUMIFS(Cleaned_Data!G$2:G$121,Cleaned_Data!D$2:D$121,A9,Cleaned_Data!C$2:C$121,9),0)</f>
        <v>0</v>
      </c>
      <c r="K9" s="21" t="n">
        <f aca="false">IFERROR(SUMIFS(Cleaned_Data!G$2:G$121,Cleaned_Data!D$2:D$121,A9,Cleaned_Data!C$2:C$121,10),0)</f>
        <v>0</v>
      </c>
      <c r="L9" s="21" t="n">
        <f aca="false">IFERROR(SUMIFS(Cleaned_Data!G$2:G$121,Cleaned_Data!D$2:D$121,A9,Cleaned_Data!C$2:C$121,11),0)</f>
        <v>0</v>
      </c>
      <c r="M9" s="21" t="n">
        <f aca="false">IFERROR(SUMIFS(Cleaned_Data!G$2:G$121,Cleaned_Data!D$2:D$121,A9,Cleaned_Data!C$2:C$121,12),0)</f>
        <v>0</v>
      </c>
      <c r="N9" s="58" t="n">
        <f aca="false">SUM(B9:M9)</f>
        <v>0</v>
      </c>
      <c r="O9" s="21" t="n">
        <f aca="false">IFERROR(N9/COUNTIF(B9:M9,"&gt;0"),0)</f>
        <v>0</v>
      </c>
      <c r="P9" s="59" t="str">
        <f aca="false">IFERROR(INDEX($B$3:$M$3,MATCH(MAX(B9:M9),B9:M9,0)),"N/A")</f>
        <v>Jan</v>
      </c>
    </row>
    <row r="10" customFormat="false" ht="15" hidden="false" customHeight="false" outlineLevel="0" collapsed="false">
      <c r="A10" s="13" t="s">
        <v>22</v>
      </c>
      <c r="B10" s="25" t="n">
        <f aca="false">SUM(B4:B9)</f>
        <v>0</v>
      </c>
      <c r="C10" s="25" t="n">
        <f aca="false">SUM(C4:C9)</f>
        <v>0</v>
      </c>
      <c r="D10" s="25" t="n">
        <f aca="false">SUM(D4:D9)</f>
        <v>0</v>
      </c>
      <c r="E10" s="25" t="n">
        <f aca="false">SUM(E4:E9)</f>
        <v>0</v>
      </c>
      <c r="F10" s="25" t="n">
        <f aca="false">SUM(F4:F9)</f>
        <v>0</v>
      </c>
      <c r="G10" s="25" t="n">
        <f aca="false">SUM(G4:G9)</f>
        <v>0</v>
      </c>
      <c r="H10" s="25" t="n">
        <f aca="false">SUM(H4:H9)</f>
        <v>0</v>
      </c>
      <c r="I10" s="25" t="n">
        <f aca="false">SUM(I4:I9)</f>
        <v>0</v>
      </c>
      <c r="J10" s="25" t="n">
        <f aca="false">SUM(J4:J9)</f>
        <v>0</v>
      </c>
      <c r="K10" s="25" t="n">
        <f aca="false">SUM(K4:K9)</f>
        <v>0</v>
      </c>
      <c r="L10" s="25" t="n">
        <f aca="false">SUM(L4:L9)</f>
        <v>0</v>
      </c>
      <c r="M10" s="25" t="n">
        <f aca="false">SUM(M4:M9)</f>
        <v>0</v>
      </c>
      <c r="N10" s="25" t="n">
        <f aca="false">SUM(N4:N9)</f>
        <v>0</v>
      </c>
      <c r="O10" s="25" t="n">
        <f aca="false">IFERROR(N10/12,0)</f>
        <v>0</v>
      </c>
      <c r="P10" s="26"/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9" min="9" style="0" width="22"/>
    <col collapsed="false" customWidth="true" hidden="false" outlineLevel="0" max="10" min="10" style="0" width="12"/>
  </cols>
  <sheetData>
    <row r="1" customFormat="false" ht="27.75" hidden="false" customHeight="true" outlineLevel="0" collapsed="false">
      <c r="A1" s="47" t="s">
        <v>340</v>
      </c>
      <c r="B1" s="47"/>
      <c r="C1" s="47"/>
      <c r="D1" s="47"/>
      <c r="E1" s="47"/>
      <c r="F1" s="47"/>
      <c r="G1" s="47"/>
    </row>
    <row r="3" customFormat="false" ht="15" hidden="false" customHeight="false" outlineLevel="0" collapsed="false">
      <c r="A3" s="13" t="s">
        <v>13</v>
      </c>
      <c r="B3" s="13" t="s">
        <v>341</v>
      </c>
      <c r="C3" s="13" t="s">
        <v>342</v>
      </c>
      <c r="D3" s="13" t="s">
        <v>343</v>
      </c>
      <c r="E3" s="13" t="s">
        <v>344</v>
      </c>
      <c r="F3" s="13" t="s">
        <v>345</v>
      </c>
      <c r="G3" s="13" t="s">
        <v>346</v>
      </c>
      <c r="I3" s="36" t="s">
        <v>13</v>
      </c>
      <c r="J3" s="36" t="s">
        <v>347</v>
      </c>
    </row>
    <row r="4" customFormat="false" ht="15" hidden="false" customHeight="false" outlineLevel="0" collapsed="false">
      <c r="A4" s="15" t="s">
        <v>34</v>
      </c>
      <c r="B4" s="16" t="n">
        <f aca="false">IFERROR(SUMIF(Cleaned_Data!E$2:E$121,A4,Cleaned_Data!G$2:G$121),0)</f>
        <v>11942952.5</v>
      </c>
      <c r="C4" s="18" t="n">
        <f aca="false">IFERROR(B4/SUM($B$4:$B$13),0)</f>
        <v>0.042096686248751</v>
      </c>
      <c r="D4" s="16" t="n">
        <f aca="false">IFERROR(SUMIFS(Cleaned_Data!G$2:G$121,Cleaned_Data!E$2:E$121,A4,Cleaned_Data!I$2:I$121,"Approved"),0)</f>
        <v>0</v>
      </c>
      <c r="E4" s="16" t="n">
        <f aca="false">IFERROR(B4/COUNTIF(Cleaned_Data!E$2:E$121,A4),0)</f>
        <v>1990492.08333333</v>
      </c>
      <c r="F4" s="17" t="n">
        <f aca="false">COUNTIF(Cleaned_Data!E$2:E$121,A4)</f>
        <v>6</v>
      </c>
      <c r="G4" s="57" t="str">
        <f aca="false">IFERROR(VLOOKUP(A4,$I$4:$J$13,2,0),"N/A")</f>
        <v>High</v>
      </c>
      <c r="I4" s="41" t="s">
        <v>34</v>
      </c>
      <c r="J4" s="42" t="s">
        <v>348</v>
      </c>
    </row>
    <row r="5" customFormat="false" ht="15" hidden="false" customHeight="false" outlineLevel="0" collapsed="false">
      <c r="A5" s="20" t="s">
        <v>62</v>
      </c>
      <c r="B5" s="21" t="n">
        <f aca="false">IFERROR(SUMIF(Cleaned_Data!E$2:E$121,A5,Cleaned_Data!G$2:G$121),0)</f>
        <v>42970527.56</v>
      </c>
      <c r="C5" s="23" t="n">
        <f aca="false">IFERROR(B5/SUM($B$4:$B$13),0)</f>
        <v>0.151463117402219</v>
      </c>
      <c r="D5" s="21" t="n">
        <f aca="false">IFERROR(SUMIFS(Cleaned_Data!G$2:G$121,Cleaned_Data!E$2:E$121,A5,Cleaned_Data!I$2:I$121,"Approved"),0)</f>
        <v>0</v>
      </c>
      <c r="E5" s="21" t="n">
        <f aca="false">IFERROR(B5/COUNTIF(Cleaned_Data!E$2:E$121,A5),0)</f>
        <v>2387251.53111111</v>
      </c>
      <c r="F5" s="22" t="n">
        <f aca="false">COUNTIF(Cleaned_Data!E$2:E$121,A5)</f>
        <v>18</v>
      </c>
      <c r="G5" s="59" t="str">
        <f aca="false">IFERROR(VLOOKUP(A5,$I$4:$J$13,2,0),"N/A")</f>
        <v>Medium</v>
      </c>
      <c r="I5" s="41" t="s">
        <v>62</v>
      </c>
      <c r="J5" s="42" t="s">
        <v>349</v>
      </c>
    </row>
    <row r="6" customFormat="false" ht="15" hidden="false" customHeight="false" outlineLevel="0" collapsed="false">
      <c r="A6" s="15" t="s">
        <v>71</v>
      </c>
      <c r="B6" s="16" t="n">
        <f aca="false">IFERROR(SUMIF(Cleaned_Data!E$2:E$121,A6,Cleaned_Data!G$2:G$121),0)</f>
        <v>15763839.4</v>
      </c>
      <c r="C6" s="18" t="n">
        <f aca="false">IFERROR(B6/SUM($B$4:$B$13),0)</f>
        <v>0.0555646019104153</v>
      </c>
      <c r="D6" s="16" t="n">
        <f aca="false">IFERROR(SUMIFS(Cleaned_Data!G$2:G$121,Cleaned_Data!E$2:E$121,A6,Cleaned_Data!I$2:I$121,"Approved"),0)</f>
        <v>0</v>
      </c>
      <c r="E6" s="16" t="n">
        <f aca="false">IFERROR(B6/COUNTIF(Cleaned_Data!E$2:E$121,A6),0)</f>
        <v>2251977.05714286</v>
      </c>
      <c r="F6" s="17" t="n">
        <f aca="false">COUNTIF(Cleaned_Data!E$2:E$121,A6)</f>
        <v>7</v>
      </c>
      <c r="G6" s="57" t="str">
        <f aca="false">IFERROR(VLOOKUP(A6,$I$4:$J$13,2,0),"N/A")</f>
        <v>Medium</v>
      </c>
      <c r="I6" s="41" t="s">
        <v>71</v>
      </c>
      <c r="J6" s="42" t="s">
        <v>349</v>
      </c>
    </row>
    <row r="7" customFormat="false" ht="15" hidden="false" customHeight="false" outlineLevel="0" collapsed="false">
      <c r="A7" s="20" t="s">
        <v>75</v>
      </c>
      <c r="B7" s="21" t="n">
        <f aca="false">IFERROR(SUMIF(Cleaned_Data!E$2:E$121,A7,Cleaned_Data!G$2:G$121),0)</f>
        <v>17649012.91</v>
      </c>
      <c r="C7" s="23" t="n">
        <f aca="false">IFERROR(B7/SUM($B$4:$B$13),0)</f>
        <v>0.0622094879027968</v>
      </c>
      <c r="D7" s="21" t="n">
        <f aca="false">IFERROR(SUMIFS(Cleaned_Data!G$2:G$121,Cleaned_Data!E$2:E$121,A7,Cleaned_Data!I$2:I$121,"Approved"),0)</f>
        <v>0</v>
      </c>
      <c r="E7" s="21" t="n">
        <f aca="false">IFERROR(B7/COUNTIF(Cleaned_Data!E$2:E$121,A7),0)</f>
        <v>1764901.291</v>
      </c>
      <c r="F7" s="22" t="n">
        <f aca="false">COUNTIF(Cleaned_Data!E$2:E$121,A7)</f>
        <v>10</v>
      </c>
      <c r="G7" s="59" t="str">
        <f aca="false">IFERROR(VLOOKUP(A7,$I$4:$J$13,2,0),"N/A")</f>
        <v>Low</v>
      </c>
      <c r="I7" s="41" t="s">
        <v>75</v>
      </c>
      <c r="J7" s="42" t="s">
        <v>350</v>
      </c>
    </row>
    <row r="8" customFormat="false" ht="15" hidden="false" customHeight="false" outlineLevel="0" collapsed="false">
      <c r="A8" s="15" t="s">
        <v>48</v>
      </c>
      <c r="B8" s="16" t="n">
        <f aca="false">IFERROR(SUMIF(Cleaned_Data!E$2:E$121,A8,Cleaned_Data!G$2:G$121),0)</f>
        <v>48612970.22</v>
      </c>
      <c r="C8" s="18" t="n">
        <f aca="false">IFERROR(B8/SUM($B$4:$B$13),0)</f>
        <v>0.171351678320015</v>
      </c>
      <c r="D8" s="16" t="n">
        <f aca="false">IFERROR(SUMIFS(Cleaned_Data!G$2:G$121,Cleaned_Data!E$2:E$121,A8,Cleaned_Data!I$2:I$121,"Approved"),0)</f>
        <v>0</v>
      </c>
      <c r="E8" s="16" t="n">
        <f aca="false">IFERROR(B8/COUNTIF(Cleaned_Data!E$2:E$121,A8),0)</f>
        <v>2859586.48352941</v>
      </c>
      <c r="F8" s="17" t="n">
        <f aca="false">COUNTIF(Cleaned_Data!E$2:E$121,A8)</f>
        <v>17</v>
      </c>
      <c r="G8" s="57" t="str">
        <f aca="false">IFERROR(VLOOKUP(A8,$I$4:$J$13,2,0),"N/A")</f>
        <v>Medium</v>
      </c>
      <c r="I8" s="41" t="s">
        <v>48</v>
      </c>
      <c r="J8" s="42" t="s">
        <v>349</v>
      </c>
    </row>
    <row r="9" customFormat="false" ht="15" hidden="false" customHeight="false" outlineLevel="0" collapsed="false">
      <c r="A9" s="20" t="s">
        <v>21</v>
      </c>
      <c r="B9" s="21" t="n">
        <f aca="false">IFERROR(SUMIF(Cleaned_Data!E$2:E$121,A9,Cleaned_Data!G$2:G$121),0)</f>
        <v>18742962.23</v>
      </c>
      <c r="C9" s="23" t="n">
        <f aca="false">IFERROR(B9/SUM($B$4:$B$13),0)</f>
        <v>0.0660654557881312</v>
      </c>
      <c r="D9" s="21" t="n">
        <f aca="false">IFERROR(SUMIFS(Cleaned_Data!G$2:G$121,Cleaned_Data!E$2:E$121,A9,Cleaned_Data!I$2:I$121,"Approved"),0)</f>
        <v>0</v>
      </c>
      <c r="E9" s="21" t="n">
        <f aca="false">IFERROR(B9/COUNTIF(Cleaned_Data!E$2:E$121,A9),0)</f>
        <v>2342870.27875</v>
      </c>
      <c r="F9" s="22" t="n">
        <f aca="false">COUNTIF(Cleaned_Data!E$2:E$121,A9)</f>
        <v>8</v>
      </c>
      <c r="G9" s="59" t="str">
        <f aca="false">IFERROR(VLOOKUP(A9,$I$4:$J$13,2,0),"N/A")</f>
        <v>Medium</v>
      </c>
      <c r="I9" s="41" t="s">
        <v>21</v>
      </c>
      <c r="J9" s="42" t="s">
        <v>349</v>
      </c>
    </row>
    <row r="10" customFormat="false" ht="15" hidden="false" customHeight="false" outlineLevel="0" collapsed="false">
      <c r="A10" s="15" t="s">
        <v>44</v>
      </c>
      <c r="B10" s="16" t="n">
        <f aca="false">IFERROR(SUMIF(Cleaned_Data!E$2:E$121,A10,Cleaned_Data!G$2:G$121),0)</f>
        <v>29475204.8</v>
      </c>
      <c r="C10" s="18" t="n">
        <f aca="false">IFERROR(B10/SUM($B$4:$B$13),0)</f>
        <v>0.103894614718034</v>
      </c>
      <c r="D10" s="16" t="n">
        <f aca="false">IFERROR(SUMIFS(Cleaned_Data!G$2:G$121,Cleaned_Data!E$2:E$121,A10,Cleaned_Data!I$2:I$121,"Approved"),0)</f>
        <v>0</v>
      </c>
      <c r="E10" s="16" t="n">
        <f aca="false">IFERROR(B10/COUNTIF(Cleaned_Data!E$2:E$121,A10),0)</f>
        <v>2679564.07272727</v>
      </c>
      <c r="F10" s="17" t="n">
        <f aca="false">COUNTIF(Cleaned_Data!E$2:E$121,A10)</f>
        <v>11</v>
      </c>
      <c r="G10" s="57" t="str">
        <f aca="false">IFERROR(VLOOKUP(A10,$I$4:$J$13,2,0),"N/A")</f>
        <v>High</v>
      </c>
      <c r="I10" s="41" t="s">
        <v>44</v>
      </c>
      <c r="J10" s="42" t="s">
        <v>348</v>
      </c>
    </row>
    <row r="11" customFormat="false" ht="15" hidden="false" customHeight="false" outlineLevel="0" collapsed="false">
      <c r="A11" s="20" t="s">
        <v>87</v>
      </c>
      <c r="B11" s="21" t="n">
        <f aca="false">IFERROR(SUMIF(Cleaned_Data!E$2:E$121,A11,Cleaned_Data!G$2:G$121),0)</f>
        <v>29398523.64</v>
      </c>
      <c r="C11" s="23" t="n">
        <f aca="false">IFERROR(B11/SUM($B$4:$B$13),0)</f>
        <v>0.103624327891245</v>
      </c>
      <c r="D11" s="21" t="n">
        <f aca="false">IFERROR(SUMIFS(Cleaned_Data!G$2:G$121,Cleaned_Data!E$2:E$121,A11,Cleaned_Data!I$2:I$121,"Approved"),0)</f>
        <v>0</v>
      </c>
      <c r="E11" s="21" t="n">
        <f aca="false">IFERROR(B11/COUNTIF(Cleaned_Data!E$2:E$121,A11),0)</f>
        <v>1959901.576</v>
      </c>
      <c r="F11" s="22" t="n">
        <f aca="false">COUNTIF(Cleaned_Data!E$2:E$121,A11)</f>
        <v>15</v>
      </c>
      <c r="G11" s="59" t="str">
        <f aca="false">IFERROR(VLOOKUP(A11,$I$4:$J$13,2,0),"N/A")</f>
        <v>High</v>
      </c>
      <c r="I11" s="41" t="s">
        <v>87</v>
      </c>
      <c r="J11" s="42" t="s">
        <v>348</v>
      </c>
    </row>
    <row r="12" customFormat="false" ht="15" hidden="false" customHeight="false" outlineLevel="0" collapsed="false">
      <c r="A12" s="15" t="s">
        <v>83</v>
      </c>
      <c r="B12" s="16" t="n">
        <f aca="false">IFERROR(SUMIF(Cleaned_Data!E$2:E$121,A12,Cleaned_Data!G$2:G$121),0)</f>
        <v>45536559.72</v>
      </c>
      <c r="C12" s="18" t="n">
        <f aca="false">IFERROR(B12/SUM($B$4:$B$13),0)</f>
        <v>0.160507903500441</v>
      </c>
      <c r="D12" s="16" t="n">
        <f aca="false">IFERROR(SUMIFS(Cleaned_Data!G$2:G$121,Cleaned_Data!E$2:E$121,A12,Cleaned_Data!I$2:I$121,"Approved"),0)</f>
        <v>0</v>
      </c>
      <c r="E12" s="16" t="n">
        <f aca="false">IFERROR(B12/COUNTIF(Cleaned_Data!E$2:E$121,A12),0)</f>
        <v>2529808.87333333</v>
      </c>
      <c r="F12" s="17" t="n">
        <f aca="false">COUNTIF(Cleaned_Data!E$2:E$121,A12)</f>
        <v>18</v>
      </c>
      <c r="G12" s="57" t="str">
        <f aca="false">IFERROR(VLOOKUP(A12,$I$4:$J$13,2,0),"N/A")</f>
        <v>Medium</v>
      </c>
      <c r="I12" s="41" t="s">
        <v>83</v>
      </c>
      <c r="J12" s="42" t="s">
        <v>349</v>
      </c>
    </row>
    <row r="13" customFormat="false" ht="15" hidden="false" customHeight="false" outlineLevel="0" collapsed="false">
      <c r="A13" s="20" t="s">
        <v>139</v>
      </c>
      <c r="B13" s="21" t="n">
        <f aca="false">IFERROR(SUMIF(Cleaned_Data!E$2:E$121,A13,Cleaned_Data!G$2:G$121),0)</f>
        <v>23610359.63</v>
      </c>
      <c r="C13" s="23" t="n">
        <f aca="false">IFERROR(B13/SUM($B$4:$B$13),0)</f>
        <v>0.0832221263179509</v>
      </c>
      <c r="D13" s="21" t="n">
        <f aca="false">IFERROR(SUMIFS(Cleaned_Data!G$2:G$121,Cleaned_Data!E$2:E$121,A13,Cleaned_Data!I$2:I$121,"Approved"),0)</f>
        <v>0</v>
      </c>
      <c r="E13" s="21" t="n">
        <f aca="false">IFERROR(B13/COUNTIF(Cleaned_Data!E$2:E$121,A13),0)</f>
        <v>2361035.963</v>
      </c>
      <c r="F13" s="22" t="n">
        <f aca="false">COUNTIF(Cleaned_Data!E$2:E$121,A13)</f>
        <v>10</v>
      </c>
      <c r="G13" s="59" t="str">
        <f aca="false">IFERROR(VLOOKUP(A13,$I$4:$J$13,2,0),"N/A")</f>
        <v>Low</v>
      </c>
      <c r="I13" s="41" t="s">
        <v>139</v>
      </c>
      <c r="J13" s="42" t="s">
        <v>350</v>
      </c>
    </row>
    <row r="14" customFormat="false" ht="15" hidden="false" customHeight="false" outlineLevel="0" collapsed="false">
      <c r="A14" s="13" t="s">
        <v>22</v>
      </c>
      <c r="B14" s="25" t="n">
        <f aca="false">SUM(B4:B13)</f>
        <v>283702912.61</v>
      </c>
      <c r="C14" s="56" t="n">
        <f aca="false">SUM(C4:C13)</f>
        <v>1</v>
      </c>
      <c r="D14" s="25" t="n">
        <f aca="false">SUM(D4:D13)</f>
        <v>0</v>
      </c>
      <c r="E14" s="25" t="n">
        <f aca="false">AVERAGE(E4:E13)</f>
        <v>2312738.92099273</v>
      </c>
      <c r="F14" s="13" t="n">
        <f aca="false">SUM(F4:F13)</f>
        <v>120</v>
      </c>
      <c r="G14" s="26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2026-03-11T23:31:05Z</dcterms:created>
  <dc:creator>openpyxl</dc:creator>
  <dc:description/>
  <dc:language>en-US</dc:language>
  <cp:lastModifiedBy/>
  <dcterms:modified xsi:type="dcterms:W3CDTF">2026-03-11T23:31:15Z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